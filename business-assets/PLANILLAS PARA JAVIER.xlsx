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435778a61e44bc/Desktop/"/>
    </mc:Choice>
  </mc:AlternateContent>
  <xr:revisionPtr revIDLastSave="3" documentId="8_{5CDCE2AB-9228-436B-AECD-DDE15ADF84D2}" xr6:coauthVersionLast="47" xr6:coauthVersionMax="47" xr10:uidLastSave="{3E51F587-FBDE-4403-871B-DE7A4ADAEACD}"/>
  <bookViews>
    <workbookView xWindow="-108" yWindow="-108" windowWidth="23256" windowHeight="13896" activeTab="1" xr2:uid="{B244FDFF-42F0-48B4-855F-F0924FCA8526}"/>
  </bookViews>
  <sheets>
    <sheet name="PLANILLA DE VENTA" sheetId="1" r:id="rId1"/>
    <sheet name="LISTA DE PRECI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5" i="1" l="1"/>
  <c r="C25" i="1"/>
  <c r="D23" i="1"/>
  <c r="J19" i="1"/>
  <c r="J18" i="1"/>
  <c r="H18" i="1"/>
  <c r="G15" i="1"/>
  <c r="D15" i="1"/>
  <c r="D25" i="1" s="1"/>
  <c r="G14" i="1"/>
  <c r="G13" i="1"/>
  <c r="G12" i="1"/>
  <c r="G11" i="1"/>
  <c r="G10" i="1"/>
  <c r="G18" i="1" s="1"/>
  <c r="G20" i="1" s="1"/>
  <c r="G9" i="1"/>
</calcChain>
</file>

<file path=xl/sharedStrings.xml><?xml version="1.0" encoding="utf-8"?>
<sst xmlns="http://schemas.openxmlformats.org/spreadsheetml/2006/main" count="1649" uniqueCount="1064">
  <si>
    <t xml:space="preserve">FECHA </t>
  </si>
  <si>
    <t>26/5 A 29/5</t>
  </si>
  <si>
    <t>CAJA</t>
  </si>
  <si>
    <t>CODIGO</t>
  </si>
  <si>
    <t>CANTIDAD</t>
  </si>
  <si>
    <t>PRECIO</t>
  </si>
  <si>
    <t>TOTAL</t>
  </si>
  <si>
    <t>FORMA</t>
  </si>
  <si>
    <t>OBSERVACIONES</t>
  </si>
  <si>
    <t>PAN</t>
  </si>
  <si>
    <t>EFEC</t>
  </si>
  <si>
    <t>EA3</t>
  </si>
  <si>
    <t>MP</t>
  </si>
  <si>
    <t>SEMITAS</t>
  </si>
  <si>
    <t>HUEVO</t>
  </si>
  <si>
    <t xml:space="preserve"> PALOSANTO</t>
  </si>
  <si>
    <t>RETIRO</t>
  </si>
  <si>
    <t>MARCE3</t>
  </si>
  <si>
    <t>TURMA</t>
  </si>
  <si>
    <t>BELTRA12</t>
  </si>
  <si>
    <t>BELTRA3</t>
  </si>
  <si>
    <t>MIELCALIN</t>
  </si>
  <si>
    <t>BELTRA11</t>
  </si>
  <si>
    <t>CASTA2</t>
  </si>
  <si>
    <t>OREGANO</t>
  </si>
  <si>
    <t>PROVENZAL</t>
  </si>
  <si>
    <t>AROMA</t>
  </si>
  <si>
    <t>RESINA</t>
  </si>
  <si>
    <t>ALIMENTOS AGROECOLÓGICOS</t>
  </si>
  <si>
    <t>|</t>
  </si>
  <si>
    <t>LISTA DE PRECIOS PUBLICO AL  28/5/26/26</t>
  </si>
  <si>
    <t>DESCRIPCION</t>
  </si>
  <si>
    <t>UNIDAD</t>
  </si>
  <si>
    <t>HT</t>
  </si>
  <si>
    <t xml:space="preserve">HARINA DE TOMATE </t>
  </si>
  <si>
    <t>200gr</t>
  </si>
  <si>
    <t>UTT1</t>
  </si>
  <si>
    <t>BOTELLA SALSA DE TOMATE UTT</t>
  </si>
  <si>
    <t>950g</t>
  </si>
  <si>
    <t>UTT2</t>
  </si>
  <si>
    <t>TOMATE EN TROZOS UTT</t>
  </si>
  <si>
    <t>660gr</t>
  </si>
  <si>
    <t>UTT12</t>
  </si>
  <si>
    <t>ACEITUNAS VERDES UTT</t>
  </si>
  <si>
    <t>1 kilo</t>
  </si>
  <si>
    <t>UTT13</t>
  </si>
  <si>
    <t>ACEITUNAS NEGRAS UTT</t>
  </si>
  <si>
    <t>UTT3</t>
  </si>
  <si>
    <t>TOMATES SECOS EN ACEITE DE OLIVA</t>
  </si>
  <si>
    <t>HUEVOS</t>
  </si>
  <si>
    <t>HUEVOS CASEROS</t>
  </si>
  <si>
    <t>CEBO</t>
  </si>
  <si>
    <t xml:space="preserve">CEBOLLITAS  AL VINAGRE </t>
  </si>
  <si>
    <t>FRASCO</t>
  </si>
  <si>
    <t>AJO</t>
  </si>
  <si>
    <t>AJOS AL VINAGRE</t>
  </si>
  <si>
    <t>CAFÉALGA</t>
  </si>
  <si>
    <t xml:space="preserve">CAFE DE ALGARROBO </t>
  </si>
  <si>
    <t>80 GR</t>
  </si>
  <si>
    <t>CASTA62</t>
  </si>
  <si>
    <t>AZUCAR MASCABO</t>
  </si>
  <si>
    <t>500 GR</t>
  </si>
  <si>
    <t>JENGIBRE</t>
  </si>
  <si>
    <t xml:space="preserve">JEMGIBRE SUELTO </t>
  </si>
  <si>
    <t>100 GR</t>
  </si>
  <si>
    <t>ESCA1</t>
  </si>
  <si>
    <t>ESCABECHE GIRGOLA</t>
  </si>
  <si>
    <t>ESCA2</t>
  </si>
  <si>
    <t xml:space="preserve">ESCABECHE HONGOS SHIITAKE  </t>
  </si>
  <si>
    <t>ESCA3</t>
  </si>
  <si>
    <t>ESCABECHE GRIGOLAS Y TOMATES SECOS</t>
  </si>
  <si>
    <t>ESCA4</t>
  </si>
  <si>
    <t>DESHIDRATADO SHIITAKE  X 100 GR</t>
  </si>
  <si>
    <t>ESCA5</t>
  </si>
  <si>
    <t>HONGOS DESHIDRATADO GIRGOLAS  X 100 GR</t>
  </si>
  <si>
    <t>MOSTA</t>
  </si>
  <si>
    <t>MOSTAZA ANDINA</t>
  </si>
  <si>
    <t>BM1</t>
  </si>
  <si>
    <t>ESCABECHE DE VERDURA</t>
  </si>
  <si>
    <t>BELTRA15</t>
  </si>
  <si>
    <t>AJO CON ACHETTO</t>
  </si>
  <si>
    <t>NATU2</t>
  </si>
  <si>
    <t xml:space="preserve">AZÚCAR BLANCA </t>
  </si>
  <si>
    <t>500gr</t>
  </si>
  <si>
    <t>NATU11</t>
  </si>
  <si>
    <t xml:space="preserve">SAL DEL HIMALAYA </t>
  </si>
  <si>
    <t>Ketchu</t>
  </si>
  <si>
    <t>KETCHU PATAGONICO</t>
  </si>
  <si>
    <t>MARCE15</t>
  </si>
  <si>
    <t>ESCABECHE DE CONEJO</t>
  </si>
  <si>
    <t>LISTA DE PRECIOS PUBLICO AL  8/5/25</t>
  </si>
  <si>
    <t>AVENA3</t>
  </si>
  <si>
    <t>AVENA ARROLLADA</t>
  </si>
  <si>
    <t>1 KILO</t>
  </si>
  <si>
    <t>500GR</t>
  </si>
  <si>
    <t>LENTE 1</t>
  </si>
  <si>
    <t>LENTEJAS</t>
  </si>
  <si>
    <t>LENTE 2</t>
  </si>
  <si>
    <t>ARVEJAS1</t>
  </si>
  <si>
    <t>ARVEJAS</t>
  </si>
  <si>
    <t>ARVEJAS2</t>
  </si>
  <si>
    <t>ARVEJAS  PARTIDA</t>
  </si>
  <si>
    <t>POROTOS1</t>
  </si>
  <si>
    <t>POROTOS NEGROS ORGANICOS</t>
  </si>
  <si>
    <t>1kilo</t>
  </si>
  <si>
    <t>POROTOS2</t>
  </si>
  <si>
    <t>NATU9</t>
  </si>
  <si>
    <t xml:space="preserve">POROTO COLORADO </t>
  </si>
  <si>
    <t>NATU91</t>
  </si>
  <si>
    <t>SALVE2</t>
  </si>
  <si>
    <t>POROTO MUNG ORGANICO</t>
  </si>
  <si>
    <t>SALVE3</t>
  </si>
  <si>
    <t>POROTO ADUKI ORGANICO</t>
  </si>
  <si>
    <t>ARROS 1</t>
  </si>
  <si>
    <t>ARROZ INTEGRAL</t>
  </si>
  <si>
    <t>ARROS 2</t>
  </si>
  <si>
    <t>YAMANI1</t>
  </si>
  <si>
    <t xml:space="preserve">ARROZ YAMANI </t>
  </si>
  <si>
    <t>YAMANI2</t>
  </si>
  <si>
    <t>QARROLLA1</t>
  </si>
  <si>
    <t>QUINOA ARROLLADA</t>
  </si>
  <si>
    <t>QARROLLA2</t>
  </si>
  <si>
    <t>SOJA</t>
  </si>
  <si>
    <t>SOJA ORGANICA</t>
  </si>
  <si>
    <t>QUINOA</t>
  </si>
  <si>
    <t>QUINOA  ( SIN LAVAR )</t>
  </si>
  <si>
    <t>1 KG</t>
  </si>
  <si>
    <t>NATU10</t>
  </si>
  <si>
    <t>QUINOA PRE LAVADA</t>
  </si>
  <si>
    <t>NATU4</t>
  </si>
  <si>
    <t>GARBANZOS</t>
  </si>
  <si>
    <t>SALVE1</t>
  </si>
  <si>
    <t xml:space="preserve">HARINA DE GARBANZO ORGANICO </t>
  </si>
  <si>
    <t>NATU1</t>
  </si>
  <si>
    <t xml:space="preserve">ALMIDÓN DE MANDIOCA </t>
  </si>
  <si>
    <t>HBLANCA1</t>
  </si>
  <si>
    <t>HARINA BLANCA  DE TRIGO</t>
  </si>
  <si>
    <t>HBLANCA2</t>
  </si>
  <si>
    <t>SARRACE1</t>
  </si>
  <si>
    <t>HARINA INTEGRAL DE SARRACENO</t>
  </si>
  <si>
    <t>SARRACE2</t>
  </si>
  <si>
    <t>HCENTENO1</t>
  </si>
  <si>
    <t>HARINA INTEGRAL DE CENTENO</t>
  </si>
  <si>
    <t>HCENTENO2</t>
  </si>
  <si>
    <t>HINTE 1</t>
  </si>
  <si>
    <t>HARINA INTEGRAL DE TRIGO</t>
  </si>
  <si>
    <t>HINTE 2</t>
  </si>
  <si>
    <t>HARRO 1</t>
  </si>
  <si>
    <t>HARINA INTEGRAL DE ARROZ</t>
  </si>
  <si>
    <t>HARRO 2</t>
  </si>
  <si>
    <t>HAVENA1</t>
  </si>
  <si>
    <t>HARINA DE AVENA</t>
  </si>
  <si>
    <t>HAVENA2</t>
  </si>
  <si>
    <t>HQUINOA1</t>
  </si>
  <si>
    <t>HARINA DE QUINOA</t>
  </si>
  <si>
    <t>HQUINOA2</t>
  </si>
  <si>
    <t>NATU6</t>
  </si>
  <si>
    <t xml:space="preserve">HARINA DE MAIZ </t>
  </si>
  <si>
    <t>ESCUELA</t>
  </si>
  <si>
    <t xml:space="preserve">HARINA ALGARROBO </t>
  </si>
  <si>
    <t>300GR</t>
  </si>
  <si>
    <t>ARTESANIAS</t>
  </si>
  <si>
    <t>LISTA DE PRECIOS PUBLICO AL  25/4/26</t>
  </si>
  <si>
    <t>CU</t>
  </si>
  <si>
    <t xml:space="preserve">CUADERNOS </t>
  </si>
  <si>
    <t>MAU1</t>
  </si>
  <si>
    <t>PAJARITOS PEQUEÑOS</t>
  </si>
  <si>
    <t>MAU8</t>
  </si>
  <si>
    <t xml:space="preserve">CUENCOS MEDIANOS </t>
  </si>
  <si>
    <t>MAU11</t>
  </si>
  <si>
    <t>MACETAS</t>
  </si>
  <si>
    <t>ANA1</t>
  </si>
  <si>
    <t>TAPIZ</t>
  </si>
  <si>
    <t>PATO4</t>
  </si>
  <si>
    <t>PAR AROS TULIPAN Y GRANATA</t>
  </si>
  <si>
    <t>PAR</t>
  </si>
  <si>
    <t>PATO11</t>
  </si>
  <si>
    <t>CUCHARA DE COBRE ALPACA BRONCE</t>
  </si>
  <si>
    <t>PATO12</t>
  </si>
  <si>
    <t>ARO SOLITARIO AGATA VERDE</t>
  </si>
  <si>
    <t>PATO13</t>
  </si>
  <si>
    <t>AROS DE COBRE CON BOLITA DE CORAL</t>
  </si>
  <si>
    <t>PATO14</t>
  </si>
  <si>
    <t>ARO SOLITARIO COBRE TEXTURADO</t>
  </si>
  <si>
    <t>PATO15</t>
  </si>
  <si>
    <t>COLGANTE ALPACA PALOMA</t>
  </si>
  <si>
    <t>PATO16</t>
  </si>
  <si>
    <t>PULSERA ALPACA FLOR</t>
  </si>
  <si>
    <t>PATO17</t>
  </si>
  <si>
    <t>PULSERA COBRE TEXTURADA</t>
  </si>
  <si>
    <t>PATO18</t>
  </si>
  <si>
    <t>COLGANTE MADERA DE PIPA TEJIDA Y PIEDRA RODOCROCITA</t>
  </si>
  <si>
    <t>TEJIDO 6</t>
  </si>
  <si>
    <t>CARTERA NUNO FIELTRO MADERA Y PIEDRA</t>
  </si>
  <si>
    <t>SOLE1</t>
  </si>
  <si>
    <t>BOLSITO</t>
  </si>
  <si>
    <t>SOLE2</t>
  </si>
  <si>
    <t>CUELLITO</t>
  </si>
  <si>
    <t>SOLE3</t>
  </si>
  <si>
    <t>CUENCO</t>
  </si>
  <si>
    <t>FUEGUITO</t>
  </si>
  <si>
    <t>RAMI1</t>
  </si>
  <si>
    <t>PIPA CHICA</t>
  </si>
  <si>
    <t>RAMI2</t>
  </si>
  <si>
    <t>PIPA DE AGUA</t>
  </si>
  <si>
    <t>RAMI3</t>
  </si>
  <si>
    <t>VASO/MATE</t>
  </si>
  <si>
    <t>RAMI4</t>
  </si>
  <si>
    <t xml:space="preserve">TAZAS CON MANIJAS </t>
  </si>
  <si>
    <t>CESTERIA1</t>
  </si>
  <si>
    <t>MATE CON VIDRIO</t>
  </si>
  <si>
    <t>CESTERIA2</t>
  </si>
  <si>
    <t>CUENCO MEDIANO</t>
  </si>
  <si>
    <t>CESTERIA3</t>
  </si>
  <si>
    <t>CUENCO CHICO</t>
  </si>
  <si>
    <t>CESTERIA4</t>
  </si>
  <si>
    <t>POSA PAVA</t>
  </si>
  <si>
    <t>CESTERIA5</t>
  </si>
  <si>
    <t>CUENCO LARGUITO</t>
  </si>
  <si>
    <t>BUFALO2</t>
  </si>
  <si>
    <t xml:space="preserve">PIPA </t>
  </si>
  <si>
    <t>BUFALO3</t>
  </si>
  <si>
    <t>APLICADOR</t>
  </si>
  <si>
    <t>CEPILLO</t>
  </si>
  <si>
    <t>CEPILLOS DENTAL</t>
  </si>
  <si>
    <t>ESTUCHE</t>
  </si>
  <si>
    <t>ESTUCHE CEPILLOS</t>
  </si>
  <si>
    <t>VILMA1</t>
  </si>
  <si>
    <t>PLATO GRANDE</t>
  </si>
  <si>
    <t>VILMA2</t>
  </si>
  <si>
    <t>PLATO CHICO</t>
  </si>
  <si>
    <t>VILMA3</t>
  </si>
  <si>
    <t>COPA</t>
  </si>
  <si>
    <t>VILMA4</t>
  </si>
  <si>
    <t>SAHUMADOR C/TPA</t>
  </si>
  <si>
    <t>VILMA5</t>
  </si>
  <si>
    <t>VASIJA REDONDA</t>
  </si>
  <si>
    <t>VILMA6</t>
  </si>
  <si>
    <t>ANFORA</t>
  </si>
  <si>
    <t>VILMA7</t>
  </si>
  <si>
    <t>CUCHARON</t>
  </si>
  <si>
    <t>VILMA8</t>
  </si>
  <si>
    <t>HOJAS</t>
  </si>
  <si>
    <t>VILMA9</t>
  </si>
  <si>
    <t>MUJER</t>
  </si>
  <si>
    <t>VILMA10</t>
  </si>
  <si>
    <t>PORTA SAHUMERIO</t>
  </si>
  <si>
    <t>VILMA11</t>
  </si>
  <si>
    <t>COLLAR REDONDO GRANDE</t>
  </si>
  <si>
    <t>VILMA12</t>
  </si>
  <si>
    <t>COLLAR REDONDO CHICO</t>
  </si>
  <si>
    <t>VILMA13</t>
  </si>
  <si>
    <t>COLLAR CHAKANA</t>
  </si>
  <si>
    <t>VILMA14</t>
  </si>
  <si>
    <t>COLLAR ESTRELLITA</t>
  </si>
  <si>
    <t>VILMA15</t>
  </si>
  <si>
    <t>COLLAR CACHARRO</t>
  </si>
  <si>
    <t>VILMA16</t>
  </si>
  <si>
    <t>COLLAR TORTUGA</t>
  </si>
  <si>
    <t>VILMA17</t>
  </si>
  <si>
    <t>COLLAR HUESITOS</t>
  </si>
  <si>
    <t>MARTI1</t>
  </si>
  <si>
    <t xml:space="preserve">PIPA DE MADERA </t>
  </si>
  <si>
    <t>MARTI2</t>
  </si>
  <si>
    <t>PINCHES DE PICADA MADERA 6</t>
  </si>
  <si>
    <t>MARTI3</t>
  </si>
  <si>
    <t>CUCHARA MIELERA DE MADERA</t>
  </si>
  <si>
    <t>MARTI4</t>
  </si>
  <si>
    <t xml:space="preserve">CUCHARA CORAZON  MADERA </t>
  </si>
  <si>
    <t>MARTI5</t>
  </si>
  <si>
    <t>CUCHARITA MINI MADERA</t>
  </si>
  <si>
    <t>MARTI6</t>
  </si>
  <si>
    <t>CUCHILLO Y CUCHARA  MADERA CHICO</t>
  </si>
  <si>
    <t>MARTI7</t>
  </si>
  <si>
    <t xml:space="preserve">CUCHARA MEDIANA MADERA </t>
  </si>
  <si>
    <t>MARTI8</t>
  </si>
  <si>
    <t xml:space="preserve">CUCHARA LARGA Y FINA </t>
  </si>
  <si>
    <t>MARTI9</t>
  </si>
  <si>
    <t>CUCHARON DE MADERA</t>
  </si>
  <si>
    <t>MARTI10</t>
  </si>
  <si>
    <t>CUCHARA Y ESPATULAS GRANDES</t>
  </si>
  <si>
    <t>KARINA</t>
  </si>
  <si>
    <t>PAR DE AROS MAGICA COSTURA</t>
  </si>
  <si>
    <t>ALFIA</t>
  </si>
  <si>
    <t>POESIA " BURLA DEL TIEMPO"</t>
  </si>
  <si>
    <t>LAUTI</t>
  </si>
  <si>
    <t>FAROL DE CARDON</t>
  </si>
  <si>
    <t>USNO 1</t>
  </si>
  <si>
    <t>MORTERO PIEDRA</t>
  </si>
  <si>
    <t>ACEITES - VINAGRE - BEBIDAS</t>
  </si>
  <si>
    <t>LISTA DE PRECIOS PUBLICO AL  28/5/26</t>
  </si>
  <si>
    <t>AGEDA1</t>
  </si>
  <si>
    <t>JUGO DE UVA  PURO</t>
  </si>
  <si>
    <t>1 litro</t>
  </si>
  <si>
    <t>AGEDA 2</t>
  </si>
  <si>
    <t>LICORES NATURALES (naranja romero chinchil)</t>
  </si>
  <si>
    <t>BOTELLA</t>
  </si>
  <si>
    <t>SI 24</t>
  </si>
  <si>
    <t xml:space="preserve">SIDRA DE MANZANA </t>
  </si>
  <si>
    <t>500ML</t>
  </si>
  <si>
    <t>MAGIA</t>
  </si>
  <si>
    <t>VINO MAGIA ANDINA BLANCO O TINTO</t>
  </si>
  <si>
    <t>750ML</t>
  </si>
  <si>
    <t>SORO MAL</t>
  </si>
  <si>
    <t>VINO SOROCAYO MALBEC</t>
  </si>
  <si>
    <t>SORO BLEND</t>
  </si>
  <si>
    <t>VINO SOROCAYO BLEND DE TINTAS</t>
  </si>
  <si>
    <t>SORO ROSE</t>
  </si>
  <si>
    <t>VINO SOROCAYO ROSE</t>
  </si>
  <si>
    <t>BAGUALA 1</t>
  </si>
  <si>
    <t>VINO CUESTA DE BARREALES MALBEC</t>
  </si>
  <si>
    <t>BAGUALA 2</t>
  </si>
  <si>
    <t>VINO CUESTA DE BARREALES NARANJO</t>
  </si>
  <si>
    <t>BAGUALA 3</t>
  </si>
  <si>
    <t>VINO PUEBLERINO MALBEC CABERNET</t>
  </si>
  <si>
    <t xml:space="preserve">AGUA </t>
  </si>
  <si>
    <t>AGUA MINERAL X 500 ML</t>
  </si>
  <si>
    <t>LEÑA GRANDE</t>
  </si>
  <si>
    <t>PAQUETE</t>
  </si>
  <si>
    <t>SODA</t>
  </si>
  <si>
    <t>SODA TALCA 2 LTS</t>
  </si>
  <si>
    <t>2 lts</t>
  </si>
  <si>
    <t>VM</t>
  </si>
  <si>
    <t>VINAGRE VIVO DE MANZANA (PROBIÓTICO)</t>
  </si>
  <si>
    <t>UTT4 SUAVE</t>
  </si>
  <si>
    <t>ACEITE DE OLIVA  PET  UTT</t>
  </si>
  <si>
    <t>500 CC</t>
  </si>
  <si>
    <t>UTT6SUAVE</t>
  </si>
  <si>
    <t>ACEITE DE OLIVA   PET  UTT</t>
  </si>
  <si>
    <t>1 LTS</t>
  </si>
  <si>
    <t>UTT8 INTENSO</t>
  </si>
  <si>
    <t>UTT10 INTENSO</t>
  </si>
  <si>
    <t>YAMI 1</t>
  </si>
  <si>
    <t>ACEITE YAMI</t>
  </si>
  <si>
    <t>1 LIT</t>
  </si>
  <si>
    <t>YAMI 2</t>
  </si>
  <si>
    <t>ACEITUNAS YAMI</t>
  </si>
  <si>
    <t>CASTA55</t>
  </si>
  <si>
    <t>ACEITE DE COCO</t>
  </si>
  <si>
    <t>360 CC</t>
  </si>
  <si>
    <t>PROBIOTICA</t>
  </si>
  <si>
    <t>SODA PROBIOTICA DE NARANJA</t>
  </si>
  <si>
    <t>500ml</t>
  </si>
  <si>
    <t>CAÑA CH</t>
  </si>
  <si>
    <t>CAÑA CON RUDA</t>
  </si>
  <si>
    <t>100ml</t>
  </si>
  <si>
    <t>CAÑA GRA</t>
  </si>
  <si>
    <t>250ml</t>
  </si>
  <si>
    <t>KETCHU</t>
  </si>
  <si>
    <t>PATAGONICO ROSA MOSQUETA</t>
  </si>
  <si>
    <t>SAUCO</t>
  </si>
  <si>
    <t>JARABE PULPA SAUCO,LIMON, CANELAY CDE OLOR</t>
  </si>
  <si>
    <t>PRODUCTOS EL CASTAÑO</t>
  </si>
  <si>
    <t>LISTA DE PRECIOS PUBLICO AL  16/3/26</t>
  </si>
  <si>
    <t>CASTA1</t>
  </si>
  <si>
    <t>MIX ALCAZAR (nueces, almendras, pasas)</t>
  </si>
  <si>
    <t>200 GR</t>
  </si>
  <si>
    <t>400 GR</t>
  </si>
  <si>
    <t>CASTA3</t>
  </si>
  <si>
    <t>MIX SALADO (maiz tostado, castañas, semillas de zapallo, maní)</t>
  </si>
  <si>
    <t>CASTA4</t>
  </si>
  <si>
    <t>CASTA5</t>
  </si>
  <si>
    <t>MIX BARREAL (nueces, arándanos, maní y almendras)</t>
  </si>
  <si>
    <t>CASTA6</t>
  </si>
  <si>
    <t>CASTA7</t>
  </si>
  <si>
    <t>MIX CUYO (almendras, castañas de cajú, pasas rubias, maní y maiz tostado)</t>
  </si>
  <si>
    <t>CASTA8</t>
  </si>
  <si>
    <t>CASTA9</t>
  </si>
  <si>
    <t>MIX TONTAL (nueces, almendras, castañas de cajú)</t>
  </si>
  <si>
    <t>CASTA10</t>
  </si>
  <si>
    <t>CASTA11</t>
  </si>
  <si>
    <t>MIX DEL VALLE (arándanos, semillas de zapallo, avellanas, coco en escamas y almendras)</t>
  </si>
  <si>
    <t>CASTA12</t>
  </si>
  <si>
    <t>CASTA13</t>
  </si>
  <si>
    <t>MIX ANDES (nueces, almendras, pasas y castañas de cajú)</t>
  </si>
  <si>
    <t>CASTA14</t>
  </si>
  <si>
    <t>CASTA15</t>
  </si>
  <si>
    <t>MIX LEONCITO (nueces, bananitas, pasas y maní)</t>
  </si>
  <si>
    <t>CASTA16</t>
  </si>
  <si>
    <t>CASTA17</t>
  </si>
  <si>
    <t>MIX HILARIO (casrtañas de cajú, almendras, pasas morenas y rubias)</t>
  </si>
  <si>
    <t>CASTA18</t>
  </si>
  <si>
    <t>CASTA19</t>
  </si>
  <si>
    <t>MIX PAMPA (avellanas, castañas de cajú, arándanos y maní)</t>
  </si>
  <si>
    <t>CASTA20</t>
  </si>
  <si>
    <t>CASTA81</t>
  </si>
  <si>
    <t>MIX ENERGETICO</t>
  </si>
  <si>
    <t>CASTA82</t>
  </si>
  <si>
    <t>GRANOLAS</t>
  </si>
  <si>
    <t>CASTA83</t>
  </si>
  <si>
    <t>GRANOLA NATURAL</t>
  </si>
  <si>
    <t>250 GR</t>
  </si>
  <si>
    <t>CASTA84</t>
  </si>
  <si>
    <t>CASTA 95</t>
  </si>
  <si>
    <t xml:space="preserve">GRANOLA ENERGETICA </t>
  </si>
  <si>
    <t>CASTA28</t>
  </si>
  <si>
    <t>GRANOLA ARTESANAL ( avena tostada con miel, vainilla natural, coco rallado, fibras de salvado, copos de maiz, nueces, almendras y castañas de cajú)</t>
  </si>
  <si>
    <t>CASTA29</t>
  </si>
  <si>
    <t>CASTA30</t>
  </si>
  <si>
    <t>GRANOLA C/PASAS ( avena tostada con miel, vainilla natural, coco rallado, fibras de salvado, copos de maiz, nueces, almendras, castañas de cajú y pasas)</t>
  </si>
  <si>
    <t>CASTA31</t>
  </si>
  <si>
    <t>CASTA32</t>
  </si>
  <si>
    <t>GRANOLA C/SEMILLAS (avena tradicional tostada con miel, semillas de girasol, zapallo, quinoa inflada, coco, almendras y maní)</t>
  </si>
  <si>
    <t>CASTA33</t>
  </si>
  <si>
    <t>CASTA63</t>
  </si>
  <si>
    <t>GRANOLA ARTESANAL C/CHOCOLATE (avena tostada con miel, semillas de sésamo, coco rallado, almendras, chips de chocolate, cacao puro y coco rallado)</t>
  </si>
  <si>
    <t>CASTA85</t>
  </si>
  <si>
    <t>GRANOLA ENERGETICA</t>
  </si>
  <si>
    <t>CASTA65</t>
  </si>
  <si>
    <t>AVELLANA C/CHOCOLATE</t>
  </si>
  <si>
    <t>CASTA66</t>
  </si>
  <si>
    <t>PASAS C/CHOCOLATE</t>
  </si>
  <si>
    <t>CASTA67</t>
  </si>
  <si>
    <t>ALMENDRAS C/CHOCOLATE SEMAMARGO</t>
  </si>
  <si>
    <t>CASTA68</t>
  </si>
  <si>
    <t>ARANDANOS C/CHOCOLATE</t>
  </si>
  <si>
    <t>CASTA69</t>
  </si>
  <si>
    <t>MIX AVELLANA Y ARANDANOS</t>
  </si>
  <si>
    <t>CASTA77</t>
  </si>
  <si>
    <t>MANI CON CHOCOLATE</t>
  </si>
  <si>
    <t>ESPECIES</t>
  </si>
  <si>
    <t>CASTA34</t>
  </si>
  <si>
    <t>CASTA35</t>
  </si>
  <si>
    <t>50 GR</t>
  </si>
  <si>
    <t>CASTA36</t>
  </si>
  <si>
    <t>TOMILLO</t>
  </si>
  <si>
    <t>40 GR</t>
  </si>
  <si>
    <t>CASTA37</t>
  </si>
  <si>
    <t>CURRY SUAVE</t>
  </si>
  <si>
    <t>CASTA38</t>
  </si>
  <si>
    <t>MOSTAZA GRANOS</t>
  </si>
  <si>
    <t>CASTA39</t>
  </si>
  <si>
    <t>PAPRIKA</t>
  </si>
  <si>
    <t>CASTA40</t>
  </si>
  <si>
    <t>CURCUMA</t>
  </si>
  <si>
    <t>CASTA41</t>
  </si>
  <si>
    <t>COMINO</t>
  </si>
  <si>
    <t>CASTA43</t>
  </si>
  <si>
    <t>CANELA MOLIDA</t>
  </si>
  <si>
    <t>CASTA44</t>
  </si>
  <si>
    <t>PIMENTON DULCE</t>
  </si>
  <si>
    <t>CASTA51</t>
  </si>
  <si>
    <t>AZAFRAN</t>
  </si>
  <si>
    <t>2 GR</t>
  </si>
  <si>
    <t>CASTA52</t>
  </si>
  <si>
    <t>CANELA EN RAMA</t>
  </si>
  <si>
    <t>20 GR</t>
  </si>
  <si>
    <t>CASTA53</t>
  </si>
  <si>
    <t>PIMENTON ESPAÑOL</t>
  </si>
  <si>
    <t>125 GR</t>
  </si>
  <si>
    <t>AJI</t>
  </si>
  <si>
    <t xml:space="preserve">AJI MOLIDO </t>
  </si>
  <si>
    <t>50gr</t>
  </si>
  <si>
    <t>CASTA60</t>
  </si>
  <si>
    <t>QUINOA INFLADA</t>
  </si>
  <si>
    <t>150 GR</t>
  </si>
  <si>
    <t>JNGIBRE</t>
  </si>
  <si>
    <t>JENGIBRE (en polvo)</t>
  </si>
  <si>
    <t>100 gr</t>
  </si>
  <si>
    <t>CASTA42</t>
  </si>
  <si>
    <t>100gr</t>
  </si>
  <si>
    <t>DIM  MARTINA</t>
  </si>
  <si>
    <t>LISTA DE PRECIOS PUBLICO AL  27/12/25</t>
  </si>
  <si>
    <t>DIM1</t>
  </si>
  <si>
    <t>PAR MONSTERA GRADE</t>
  </si>
  <si>
    <t>DIM2</t>
  </si>
  <si>
    <t>PAR MONSTERA CHICO</t>
  </si>
  <si>
    <t>DIM3</t>
  </si>
  <si>
    <t>PAR PINCHE CALADOS</t>
  </si>
  <si>
    <t>DIM4</t>
  </si>
  <si>
    <t>PINCHE CALADO SOLITARIO</t>
  </si>
  <si>
    <t>DIM5</t>
  </si>
  <si>
    <t>PINCHE 1 METAL SIMPLE</t>
  </si>
  <si>
    <t>DIM6</t>
  </si>
  <si>
    <t>PINCHE 2 METALES</t>
  </si>
  <si>
    <t>DIM7</t>
  </si>
  <si>
    <t>PAR PINCHE GEOMETRICOS</t>
  </si>
  <si>
    <t>DIM8</t>
  </si>
  <si>
    <t>PINCHE GEOMETRICO</t>
  </si>
  <si>
    <t>DIM9</t>
  </si>
  <si>
    <t>LLAVEROS CALADOS</t>
  </si>
  <si>
    <t>DIM10</t>
  </si>
  <si>
    <t xml:space="preserve">LLAVERO TRES METALES                                                               </t>
  </si>
  <si>
    <t>DIM11</t>
  </si>
  <si>
    <t>PAR AROS METAL CALADO INTERNO</t>
  </si>
  <si>
    <t>DIM14</t>
  </si>
  <si>
    <t>ARO COLGANTE METAL</t>
  </si>
  <si>
    <t>DIM15</t>
  </si>
  <si>
    <t>ARO COLGATE ESMALTADO1</t>
  </si>
  <si>
    <t>DIM16</t>
  </si>
  <si>
    <t>PAR ARO COLGANTE ESMALTADO</t>
  </si>
  <si>
    <t>DIM19</t>
  </si>
  <si>
    <t>PAR ARO COLGANTE  METAL SIMPLE</t>
  </si>
  <si>
    <t>DIM20</t>
  </si>
  <si>
    <t>ARO COLGATE ESMALTADO 2</t>
  </si>
  <si>
    <t>DIM21</t>
  </si>
  <si>
    <t>PAR PINCHE SIMPLE</t>
  </si>
  <si>
    <t>DIM22</t>
  </si>
  <si>
    <t>ARO COLGANTE METAL CALADO INTERNO</t>
  </si>
  <si>
    <t>DIM25</t>
  </si>
  <si>
    <t>DIJE CACTUS</t>
  </si>
  <si>
    <t>DIM27</t>
  </si>
  <si>
    <t>DIJE JARRÓN CALADO</t>
  </si>
  <si>
    <t>DIM29</t>
  </si>
  <si>
    <t>DIJE GATO CALADO</t>
  </si>
  <si>
    <t xml:space="preserve">FRUTOS SECOS </t>
  </si>
  <si>
    <t>LISTA DE PRECIOS PUBLICO AL  6/5/26</t>
  </si>
  <si>
    <t>TM2</t>
  </si>
  <si>
    <t xml:space="preserve">TORREJA DE MANZANA </t>
  </si>
  <si>
    <t>TM1</t>
  </si>
  <si>
    <t xml:space="preserve">MTH </t>
  </si>
  <si>
    <t>MIX TORREJAS Y HUESILLOS X 250 GR</t>
  </si>
  <si>
    <t>HD</t>
  </si>
  <si>
    <t xml:space="preserve">HUESILLO DE DURAZNO </t>
  </si>
  <si>
    <t>150gr</t>
  </si>
  <si>
    <t>CI</t>
  </si>
  <si>
    <t xml:space="preserve">CIRUELAS SECAS </t>
  </si>
  <si>
    <t>250gr</t>
  </si>
  <si>
    <t>PA</t>
  </si>
  <si>
    <t xml:space="preserve">PASAS SIN SEMILLA </t>
  </si>
  <si>
    <t>MPN</t>
  </si>
  <si>
    <t xml:space="preserve">MIX PASAS Y NUECES </t>
  </si>
  <si>
    <t>NP1</t>
  </si>
  <si>
    <t xml:space="preserve">NUECES PELADAS </t>
  </si>
  <si>
    <t>NP2</t>
  </si>
  <si>
    <t>NUECES PELADAS</t>
  </si>
  <si>
    <t>NPK</t>
  </si>
  <si>
    <t>NCK</t>
  </si>
  <si>
    <t>NUECES CASCARA</t>
  </si>
  <si>
    <t>PERA</t>
  </si>
  <si>
    <t xml:space="preserve">TORREJAS DE PERA </t>
  </si>
  <si>
    <t>CASTA21</t>
  </si>
  <si>
    <t>CIRUELA HIDRATADAS</t>
  </si>
  <si>
    <t>CASTA22</t>
  </si>
  <si>
    <t>ARANDANOS X 100 GR</t>
  </si>
  <si>
    <t>CASTA23</t>
  </si>
  <si>
    <t>DATILES X 120 GR</t>
  </si>
  <si>
    <t>CASTA24</t>
  </si>
  <si>
    <t>TOMATES SECOS X 100 GR</t>
  </si>
  <si>
    <t>CASTA25</t>
  </si>
  <si>
    <t>HONGOS SECOS X 50 GR</t>
  </si>
  <si>
    <t>CASTA27</t>
  </si>
  <si>
    <t>CAJU TOSTADO X 50 GR</t>
  </si>
  <si>
    <t>CAJU TOSTADO X 100GR</t>
  </si>
  <si>
    <t>100GR</t>
  </si>
  <si>
    <t>CASTA46</t>
  </si>
  <si>
    <t>MANI X 200 GR</t>
  </si>
  <si>
    <t>CASTA47</t>
  </si>
  <si>
    <t>PISTACHOS X 100 GR</t>
  </si>
  <si>
    <t>PISTACHOS CON CASCARA</t>
  </si>
  <si>
    <t>CASTA48</t>
  </si>
  <si>
    <t>PASAS RUBIAS X 200 GR</t>
  </si>
  <si>
    <t>CASTA49</t>
  </si>
  <si>
    <t>HIGOS X 200 GR</t>
  </si>
  <si>
    <t xml:space="preserve">CASTA50 </t>
  </si>
  <si>
    <t>DAMASCOS TURCOS X 100 GR</t>
  </si>
  <si>
    <t>CASTA75</t>
  </si>
  <si>
    <t>BANANAS CHIP</t>
  </si>
  <si>
    <t>CASTA86</t>
  </si>
  <si>
    <t>PERAS DESHIDRATADA</t>
  </si>
  <si>
    <t>CASTA87</t>
  </si>
  <si>
    <t>PASTA DE MANI</t>
  </si>
  <si>
    <t>CASTA88</t>
  </si>
  <si>
    <t xml:space="preserve">MAIZ TOSTADO Y SALADOZ  </t>
  </si>
  <si>
    <t>CASTA89</t>
  </si>
  <si>
    <t>MAIZ SABOR MOSTAZA Y MIEL</t>
  </si>
  <si>
    <t>GIRASOL</t>
  </si>
  <si>
    <t xml:space="preserve">SEMILLAS DE GIRASOL </t>
  </si>
  <si>
    <t>CHIA</t>
  </si>
  <si>
    <t xml:space="preserve">SEMILLAS DE CHIA </t>
  </si>
  <si>
    <t>LINO</t>
  </si>
  <si>
    <t xml:space="preserve">SEMILLAS DE LINO </t>
  </si>
  <si>
    <t>NATU8</t>
  </si>
  <si>
    <t xml:space="preserve">MAIZ INFLADO NATURAL </t>
  </si>
  <si>
    <t xml:space="preserve">QUINOA </t>
  </si>
  <si>
    <t>NATU12</t>
  </si>
  <si>
    <t xml:space="preserve">SÉSAMO BLANCO INTEGRAL </t>
  </si>
  <si>
    <t>BARRITAS</t>
  </si>
  <si>
    <t>BARRITAS DE CEREAL SIN TACC</t>
  </si>
  <si>
    <t>28 GR</t>
  </si>
  <si>
    <t>CASTA90</t>
  </si>
  <si>
    <t>ALMENDRAS PELADAS</t>
  </si>
  <si>
    <t>250GR</t>
  </si>
  <si>
    <t>AVELLA1</t>
  </si>
  <si>
    <t>AVELLANAS PELADAS</t>
  </si>
  <si>
    <t>AVELLA2</t>
  </si>
  <si>
    <t>AVELLANAS CON CASCARAS</t>
  </si>
  <si>
    <t>CASTA91</t>
  </si>
  <si>
    <t>CASTA76</t>
  </si>
  <si>
    <t>COCO RALLADO</t>
  </si>
  <si>
    <t>90GR</t>
  </si>
  <si>
    <t>MARCE25</t>
  </si>
  <si>
    <t>HIGOS SECOS USNO</t>
  </si>
  <si>
    <t>MARCE26</t>
  </si>
  <si>
    <t xml:space="preserve">MIX </t>
  </si>
  <si>
    <t xml:space="preserve">          DULCES - MIELES</t>
  </si>
  <si>
    <t>LISTA DE PRECIOS PUBLICO AL  8/5/26</t>
  </si>
  <si>
    <t>DA</t>
  </si>
  <si>
    <t>DULCES ALCAYOTA</t>
  </si>
  <si>
    <t>MM</t>
  </si>
  <si>
    <t>MERMELADA DE MEMBRILLO</t>
  </si>
  <si>
    <t>MU</t>
  </si>
  <si>
    <t>MERMELADA DE UVA</t>
  </si>
  <si>
    <t>DU</t>
  </si>
  <si>
    <t>DULCES DE UVA</t>
  </si>
  <si>
    <t>DC</t>
  </si>
  <si>
    <t>DULCES CIRUELA</t>
  </si>
  <si>
    <t>MILT1</t>
  </si>
  <si>
    <t>MIEL 1KILO PLASTICO</t>
  </si>
  <si>
    <t>MILT2</t>
  </si>
  <si>
    <t>MIEL 1/2 KILO  PASTICO</t>
  </si>
  <si>
    <t>MILT4</t>
  </si>
  <si>
    <t>MIEL Y PISTACHO</t>
  </si>
  <si>
    <t>UNIDADES</t>
  </si>
  <si>
    <t>MILT5</t>
  </si>
  <si>
    <t>MIEL Y POLEN</t>
  </si>
  <si>
    <t>MILT6</t>
  </si>
  <si>
    <t>MIEL Y FRUTOS SECOS</t>
  </si>
  <si>
    <t>MIELS</t>
  </si>
  <si>
    <t>MIEL PURA 600 GR</t>
  </si>
  <si>
    <t>600 GR</t>
  </si>
  <si>
    <t>MIELCALING</t>
  </si>
  <si>
    <t>MIEL DE CALINGASTA</t>
  </si>
  <si>
    <t>NICO 1</t>
  </si>
  <si>
    <t>MIEL NICO</t>
  </si>
  <si>
    <t>ESTELA  4</t>
  </si>
  <si>
    <t>DULCE PERA</t>
  </si>
  <si>
    <t>ESTELA  5</t>
  </si>
  <si>
    <t>MERMELADA DURAZNO</t>
  </si>
  <si>
    <t>BELTRA 10</t>
  </si>
  <si>
    <t>DULCE DE LECHE CABRA 260 G</t>
  </si>
  <si>
    <t>260 GR</t>
  </si>
  <si>
    <t>DULCE DE LECHE CABRA 460 G</t>
  </si>
  <si>
    <t>460 GR</t>
  </si>
  <si>
    <t>JALEAM</t>
  </si>
  <si>
    <t>JALEA DE MOMBRILLO</t>
  </si>
  <si>
    <t>JALEAM1</t>
  </si>
  <si>
    <t>JALEA DE MOMBRILLO X 800GR</t>
  </si>
  <si>
    <t>800 GR</t>
  </si>
  <si>
    <t>DULCE DE MEMBRILLO EN PAN</t>
  </si>
  <si>
    <t>MARCE4</t>
  </si>
  <si>
    <t>DULCE  DE ALCAYOTA M</t>
  </si>
  <si>
    <t>MARCE11</t>
  </si>
  <si>
    <t>DULCE  DE ALCAYOTA CON NUEZ  M</t>
  </si>
  <si>
    <t>UNIDA</t>
  </si>
  <si>
    <t>MARCE5</t>
  </si>
  <si>
    <t>DULCE DE DURAZNO M</t>
  </si>
  <si>
    <t>MARCE12</t>
  </si>
  <si>
    <t>DULCE DE DURAZNO M 800 GR</t>
  </si>
  <si>
    <t>MARCE6</t>
  </si>
  <si>
    <t>DULCE DE DAMASCO M</t>
  </si>
  <si>
    <t>MARCE7</t>
  </si>
  <si>
    <t>DURAZNOS AL NATURAL M</t>
  </si>
  <si>
    <t>MARCE8</t>
  </si>
  <si>
    <t>DULCE DE CIRUELA M</t>
  </si>
  <si>
    <t>MARCE9</t>
  </si>
  <si>
    <t>HIGOS EN ALMIBAR</t>
  </si>
  <si>
    <t xml:space="preserve">HIGOS SECOS </t>
  </si>
  <si>
    <t>MARCE10</t>
  </si>
  <si>
    <t>DULCE DE TOMATE</t>
  </si>
  <si>
    <t>LAPAC</t>
  </si>
  <si>
    <t>DUCES LA PACIENCIA</t>
  </si>
  <si>
    <t>BM2</t>
  </si>
  <si>
    <t>DULCE DE FRAMBUESA</t>
  </si>
  <si>
    <t>BM3</t>
  </si>
  <si>
    <t>DULCE DE RUIBARBO Y CANELA</t>
  </si>
  <si>
    <t>BM4</t>
  </si>
  <si>
    <t>DULCE DE CORINTIO Y GUINDA</t>
  </si>
  <si>
    <t>ANA6</t>
  </si>
  <si>
    <t>JALEA DE MANZANA</t>
  </si>
  <si>
    <t>DULCEJUAMPI</t>
  </si>
  <si>
    <t>DULCE SIN AZUCAR PERA Y MANZANA</t>
  </si>
  <si>
    <t>DULCECALIN</t>
  </si>
  <si>
    <t>DULCE DE LECHE CALINGASTA</t>
  </si>
  <si>
    <t>MERMELADA DE HIGO</t>
  </si>
  <si>
    <t>USNO 2</t>
  </si>
  <si>
    <t>ARROPE DE CHAÑAR</t>
  </si>
  <si>
    <t xml:space="preserve">MEDICINA Y COSMÉTICA </t>
  </si>
  <si>
    <t>LISTA DE PRECIOS PUBLICO AL  24/04/26</t>
  </si>
  <si>
    <t>RA</t>
  </si>
  <si>
    <t>RAPE</t>
  </si>
  <si>
    <t>5g</t>
  </si>
  <si>
    <t>MYCO</t>
  </si>
  <si>
    <t>TINTURA MADRE HONGOS (cola de pavo, cordiceps, shitake, tremella)</t>
  </si>
  <si>
    <t>60cc</t>
  </si>
  <si>
    <t>SUKA2</t>
  </si>
  <si>
    <t>JABÓN VEGETAL (coca/ jarilla/ arcilla)</t>
  </si>
  <si>
    <t>130g</t>
  </si>
  <si>
    <t>SUKA2 NEUTRO</t>
  </si>
  <si>
    <t>JABÓN  SEBO (jarilla/ lavanda )</t>
  </si>
  <si>
    <t>SUKA3 CH</t>
  </si>
  <si>
    <t>SHAMPOO SÓLIDO (coca y jarilla)</t>
  </si>
  <si>
    <t>50g</t>
  </si>
  <si>
    <t>SUKA3 G</t>
  </si>
  <si>
    <t>SHAMPOO SÓLIDO (jarilla y coca)</t>
  </si>
  <si>
    <t>100g</t>
  </si>
  <si>
    <t>TINTURA MADRE MISELIOS (melena de leon)</t>
  </si>
  <si>
    <t>UNGHU</t>
  </si>
  <si>
    <t>SHAMPOO SÓLIDO (caléndula/ manzanilla/ pomelo)</t>
  </si>
  <si>
    <t>80g</t>
  </si>
  <si>
    <t>CACAO</t>
  </si>
  <si>
    <t xml:space="preserve">POLVO CACAO PURO </t>
  </si>
  <si>
    <t>130gr</t>
  </si>
  <si>
    <t>CAAZ</t>
  </si>
  <si>
    <t>TABLETA DE PURO CACAO AL 70% (con azucar orgánica)</t>
  </si>
  <si>
    <t>CAAL</t>
  </si>
  <si>
    <t>TABLETA DE PURO CACAO AL 70% (con azúcar orgánica, almendras y coco)</t>
  </si>
  <si>
    <t>POLVO DE ORO (cúrcuma, maca, magnecio, spirulina, jengibre, pimienta, polen, algarroba)</t>
  </si>
  <si>
    <t>120gr</t>
  </si>
  <si>
    <t>POLEN</t>
  </si>
  <si>
    <t xml:space="preserve">POLEN </t>
  </si>
  <si>
    <t>SOYVIDA1</t>
  </si>
  <si>
    <t xml:space="preserve">SHAMPOO Natural Líquido </t>
  </si>
  <si>
    <t xml:space="preserve">FRAS </t>
  </si>
  <si>
    <t>SOYVIDA2</t>
  </si>
  <si>
    <t>CREMA ENJUAGUE</t>
  </si>
  <si>
    <t>TOALLITA1</t>
  </si>
  <si>
    <t>TOALLITAS DE TELA (diarias/pequeñas)</t>
  </si>
  <si>
    <t>TOALLITA2</t>
  </si>
  <si>
    <t>TOALLITAS DE TELA (solares/medianas)</t>
  </si>
  <si>
    <t>TOALLITA3</t>
  </si>
  <si>
    <t>TOALLITAS DE TELA (lunares/ grandes)</t>
  </si>
  <si>
    <t>TUTU1</t>
  </si>
  <si>
    <t>JABONES ACEITE OLIVA VARIOS</t>
  </si>
  <si>
    <t>TUTU2</t>
  </si>
  <si>
    <t>ACONDICIONADOR SOLIDO</t>
  </si>
  <si>
    <t>TUTU3</t>
  </si>
  <si>
    <t>CHAMPU SOLIDO VARIOS</t>
  </si>
  <si>
    <t>PANIFICACION Y QUESOS</t>
  </si>
  <si>
    <t>LISTA DE PRECIOS PUBLICO AL  29/5/26</t>
  </si>
  <si>
    <t>SEMITAS CASERAS</t>
  </si>
  <si>
    <t>EMPANADAS</t>
  </si>
  <si>
    <t>EMPANADAS CASERAS</t>
  </si>
  <si>
    <t>DOCENA</t>
  </si>
  <si>
    <t>PAN CASERO</t>
  </si>
  <si>
    <t>BELTRA1</t>
  </si>
  <si>
    <t>QUESO UNTABLE</t>
  </si>
  <si>
    <t>QUESO SEMI DURO DARIO</t>
  </si>
  <si>
    <t>295 gr</t>
  </si>
  <si>
    <t>QUESO DURO DARIO</t>
  </si>
  <si>
    <t>310 gr</t>
  </si>
  <si>
    <t xml:space="preserve">QUESO DURO PEPATO  </t>
  </si>
  <si>
    <t>285 gr</t>
  </si>
  <si>
    <t>BELTRA 6</t>
  </si>
  <si>
    <t>QUESO DURO BARREAL</t>
  </si>
  <si>
    <t>325 gr</t>
  </si>
  <si>
    <t>330 gr</t>
  </si>
  <si>
    <t>BELTRA 9</t>
  </si>
  <si>
    <t>PROVOLETAS</t>
  </si>
  <si>
    <t>180 gr</t>
  </si>
  <si>
    <t>BELTRA 13</t>
  </si>
  <si>
    <t>PICADA LOMITO Y QUESO CABRA</t>
  </si>
  <si>
    <t>BELTRA14</t>
  </si>
  <si>
    <t>ESCABECHE DE CABRA</t>
  </si>
  <si>
    <t>SALAMIN DE CABRA</t>
  </si>
  <si>
    <t>DOS</t>
  </si>
  <si>
    <t>UNO</t>
  </si>
  <si>
    <t>MEDIA LU</t>
  </si>
  <si>
    <t>MEDIALUNAS INTEGRAL X 6</t>
  </si>
  <si>
    <t>BANDEJA</t>
  </si>
  <si>
    <t>MULTICEREAL</t>
  </si>
  <si>
    <t>PAN MULTICEREAL, MASA MADRE X 600 GR</t>
  </si>
  <si>
    <t>PANSALVADO</t>
  </si>
  <si>
    <t>PAN DE SALVADO X 600 GR</t>
  </si>
  <si>
    <t>PANINTEGRAL</t>
  </si>
  <si>
    <t>PAN INTEGRAL RUSTICO X 600 GR</t>
  </si>
  <si>
    <t>JUANPIPREP</t>
  </si>
  <si>
    <t>PREPIZZAS INTEGRAL</t>
  </si>
  <si>
    <t>MARI1</t>
  </si>
  <si>
    <t>PREPIZZA CASERA</t>
  </si>
  <si>
    <t>UNID</t>
  </si>
  <si>
    <t>PASTAS DE LA PRESILLA</t>
  </si>
  <si>
    <t>LISTA DE PRECIOS PUBLICO AL  24/4/26</t>
  </si>
  <si>
    <t>PRES1</t>
  </si>
  <si>
    <t>Berenjenas desecadas rehidratadas en aceto balsamico</t>
  </si>
  <si>
    <t>PRES2</t>
  </si>
  <si>
    <t>Berenjenas en escabeche</t>
  </si>
  <si>
    <t>PRES3</t>
  </si>
  <si>
    <t>Porotos pallares en escabeche</t>
  </si>
  <si>
    <t>PRES4</t>
  </si>
  <si>
    <t>Pasta de tomate seco con aceitunas al ajo</t>
  </si>
  <si>
    <t>PRES5</t>
  </si>
  <si>
    <t>Pasta de tomate seco, hongos y almendras</t>
  </si>
  <si>
    <t>PRES6</t>
  </si>
  <si>
    <t xml:space="preserve">Pasta de tomate y aceitunas negras al romero </t>
  </si>
  <si>
    <t>PRES7</t>
  </si>
  <si>
    <t>Pasta de berengena con aceitunas negras a la genovesa</t>
  </si>
  <si>
    <t>PRES8</t>
  </si>
  <si>
    <t>Pasta de berenjenas con hummus</t>
  </si>
  <si>
    <t>PRES9</t>
  </si>
  <si>
    <t>Pasta de tomate con pistacho</t>
  </si>
  <si>
    <t>PRES10</t>
  </si>
  <si>
    <t>Pasta de aceitunas verdes</t>
  </si>
  <si>
    <t>PRES11</t>
  </si>
  <si>
    <t>Pastas de aceitunas negras</t>
  </si>
  <si>
    <t>PRES12</t>
  </si>
  <si>
    <t>Pastas de aceitunas negras con nuez</t>
  </si>
  <si>
    <t>PRES13</t>
  </si>
  <si>
    <t>Humus</t>
  </si>
  <si>
    <t>PRES14</t>
  </si>
  <si>
    <t>Pasta de Alcahusil</t>
  </si>
  <si>
    <t>PRES15</t>
  </si>
  <si>
    <t>Salsa criolla</t>
  </si>
  <si>
    <t>PRES16</t>
  </si>
  <si>
    <t>Pasta tomate seco con aceitunas al tomillo</t>
  </si>
  <si>
    <t>PRES17</t>
  </si>
  <si>
    <t>Pasta tomate  con mix olivas a la menta</t>
  </si>
  <si>
    <t>PRES18</t>
  </si>
  <si>
    <t>Pasta de berengena con mani</t>
  </si>
  <si>
    <t>PRES19</t>
  </si>
  <si>
    <t>Pasta tomate seco a las finas hierbas</t>
  </si>
  <si>
    <t>PRES20</t>
  </si>
  <si>
    <t>Pasta tomate seco ahumados</t>
  </si>
  <si>
    <t>PRES21</t>
  </si>
  <si>
    <t>Tapenade con tomates secos</t>
  </si>
  <si>
    <t>PRES22</t>
  </si>
  <si>
    <t>Tomate desecados rehidratados aceite oliva</t>
  </si>
  <si>
    <t>PRES23</t>
  </si>
  <si>
    <t>Tomate desecados rehidratados en Torrontes</t>
  </si>
  <si>
    <t>PRES24</t>
  </si>
  <si>
    <t>Tomate desecados rehidratados mix de hongos</t>
  </si>
  <si>
    <t>PRES25</t>
  </si>
  <si>
    <t>Tomate desecados rehidratados con corazon alcahucil</t>
  </si>
  <si>
    <t>PRES26</t>
  </si>
  <si>
    <t>Tomate desecados rehidratados EN VINO SYRA</t>
  </si>
  <si>
    <t>PRES27</t>
  </si>
  <si>
    <t>Tomate secos rehidratados con girgolas</t>
  </si>
  <si>
    <t>PRES28</t>
  </si>
  <si>
    <t>Cebollitas agridulce</t>
  </si>
  <si>
    <t>PRES29</t>
  </si>
  <si>
    <t>Pasta de berenjena con sesamo</t>
  </si>
  <si>
    <t>PRES30</t>
  </si>
  <si>
    <t>Pasta de berenjena y tomate</t>
  </si>
  <si>
    <t>PRES31</t>
  </si>
  <si>
    <t>Pasta de tomate con humus</t>
  </si>
  <si>
    <t>PRES32</t>
  </si>
  <si>
    <t>Pasta de aceitunas verdes con pistacho</t>
  </si>
  <si>
    <t>PRES33</t>
  </si>
  <si>
    <t>Mostaza con tomate</t>
  </si>
  <si>
    <t>PRES34</t>
  </si>
  <si>
    <t>NARANJA Y CHOCOLATE</t>
  </si>
  <si>
    <t>PRES35</t>
  </si>
  <si>
    <t>HIGOS Y CHOCOLATE</t>
  </si>
  <si>
    <t>PRES36</t>
  </si>
  <si>
    <t>MELON Y PISTACHO</t>
  </si>
  <si>
    <t>PRES37</t>
  </si>
  <si>
    <t>PERAS, MALBEC Y CHOCOLATE</t>
  </si>
  <si>
    <t>SAHUMOS</t>
  </si>
  <si>
    <t>LISTA DE PRECIOS PUBLICO AL  4/11/25</t>
  </si>
  <si>
    <t>EA 27</t>
  </si>
  <si>
    <t>SAHUMO ATADO</t>
  </si>
  <si>
    <t>AROMAS</t>
  </si>
  <si>
    <t>BOLSITAS CON SAHUMOS VARIOS</t>
  </si>
  <si>
    <t>NEUTRO</t>
  </si>
  <si>
    <t>BOLSITA SAHUMO NEUTRO</t>
  </si>
  <si>
    <t>ATADO 30</t>
  </si>
  <si>
    <t>SAHUMO FRAScos</t>
  </si>
  <si>
    <t>FRASCOS VARIOS</t>
  </si>
  <si>
    <t>CALDEROTAPA</t>
  </si>
  <si>
    <t>SAHUMADORES</t>
  </si>
  <si>
    <t>ANFORITAS</t>
  </si>
  <si>
    <t>ANFORITAS COLGANTES</t>
  </si>
  <si>
    <t>SAHU COLGANTE</t>
  </si>
  <si>
    <t>HORNILLO</t>
  </si>
  <si>
    <t>HORNILLO DOS PIEZAS</t>
  </si>
  <si>
    <t>CALDE CON PIE</t>
  </si>
  <si>
    <t>CALDERO CON PIE</t>
  </si>
  <si>
    <t>BRASERITO</t>
  </si>
  <si>
    <t>BRASERITO CHICO</t>
  </si>
  <si>
    <t>RESINA EN FRASCO</t>
  </si>
  <si>
    <t>COL ENERGI</t>
  </si>
  <si>
    <t>COLONIAS ENERGETICAS</t>
  </si>
  <si>
    <t>SPRAI</t>
  </si>
  <si>
    <t>ACEITES</t>
  </si>
  <si>
    <t>ACEITES PARA HORNILLOS</t>
  </si>
  <si>
    <t>VELASF</t>
  </si>
  <si>
    <t>VELAS FINAS X 3</t>
  </si>
  <si>
    <t>TRES</t>
  </si>
  <si>
    <t>VELASR</t>
  </si>
  <si>
    <t>VELAS REDONDAS X 12</t>
  </si>
  <si>
    <t>SAHU METAL</t>
  </si>
  <si>
    <t>SAHUMADOR METAL</t>
  </si>
  <si>
    <t>PALO SANTO</t>
  </si>
  <si>
    <t>PALO SANTO ORGANICO</t>
  </si>
  <si>
    <t>BOL</t>
  </si>
  <si>
    <t>YERBA Y HIERBAS AGROECOLÓGICAS</t>
  </si>
  <si>
    <t>LISTA DE PRECIOS PUBLICO AL  4/3/25</t>
  </si>
  <si>
    <t>YE</t>
  </si>
  <si>
    <t>YERBA MISIONERA</t>
  </si>
  <si>
    <t>YEM</t>
  </si>
  <si>
    <t>RO</t>
  </si>
  <si>
    <t>ROMERO</t>
  </si>
  <si>
    <t>20gr</t>
  </si>
  <si>
    <t>MH1</t>
  </si>
  <si>
    <t>MIX DE HIERBAS  TERERE</t>
  </si>
  <si>
    <t>BOLSA</t>
  </si>
  <si>
    <t>MH3</t>
  </si>
  <si>
    <t>MIX DE HIERBAS  BOLSA PEQUEÑA</t>
  </si>
  <si>
    <t>MH4</t>
  </si>
  <si>
    <t>MIX DE HIERBAS  BOLSA GRANDE</t>
  </si>
  <si>
    <t>ME</t>
  </si>
  <si>
    <t xml:space="preserve">MENTA </t>
  </si>
  <si>
    <t>B1</t>
  </si>
  <si>
    <t xml:space="preserve">BURRITO </t>
  </si>
  <si>
    <t>B2</t>
  </si>
  <si>
    <t>BURRITO GRANDE</t>
  </si>
  <si>
    <t>SUKA4</t>
  </si>
  <si>
    <t xml:space="preserve">SUICO </t>
  </si>
  <si>
    <t>SUKA5</t>
  </si>
  <si>
    <t>SUICO</t>
  </si>
  <si>
    <t>SUKA6</t>
  </si>
  <si>
    <t xml:space="preserve">COLA DE CABALLO </t>
  </si>
  <si>
    <t>SUKA7</t>
  </si>
  <si>
    <t>RAM1</t>
  </si>
  <si>
    <t>ASACANCIA</t>
  </si>
  <si>
    <t>RAM2</t>
  </si>
  <si>
    <t>QUINCHAMALI</t>
  </si>
  <si>
    <t>30gr</t>
  </si>
  <si>
    <t>RAM3</t>
  </si>
  <si>
    <t>AJENJO</t>
  </si>
  <si>
    <t>RAM4</t>
  </si>
  <si>
    <t>SALVIA BLANCA</t>
  </si>
  <si>
    <t>RAM5</t>
  </si>
  <si>
    <t>PAICO</t>
  </si>
  <si>
    <t>ANA4</t>
  </si>
  <si>
    <t xml:space="preserve">SEMILLA SIGNIA </t>
  </si>
  <si>
    <t>40gr</t>
  </si>
  <si>
    <t>ANA5</t>
  </si>
  <si>
    <t>SEMILLA SIGNIA CHICA</t>
  </si>
  <si>
    <t>15gr</t>
  </si>
  <si>
    <t>CANDE CEDRO</t>
  </si>
  <si>
    <t xml:space="preserve">CEDRÓN </t>
  </si>
  <si>
    <t>15G</t>
  </si>
  <si>
    <t>CANDE MIX</t>
  </si>
  <si>
    <t>MIX HIERBAS  DIGESTIVAS</t>
  </si>
  <si>
    <t>30 GR</t>
  </si>
  <si>
    <t>AZAFRA</t>
  </si>
  <si>
    <t>AZAFRAN X GRAMO</t>
  </si>
  <si>
    <t>1gr</t>
  </si>
  <si>
    <t>MARCE1</t>
  </si>
  <si>
    <t xml:space="preserve">SALVIA BLANCA </t>
  </si>
  <si>
    <t>QUINCHAM</t>
  </si>
  <si>
    <t>QINCHAMALI 30GR</t>
  </si>
  <si>
    <t>CIERVO</t>
  </si>
  <si>
    <t xml:space="preserve">HIERBA DEL CIERVO  </t>
  </si>
  <si>
    <t>10gr</t>
  </si>
  <si>
    <t>AJEM</t>
  </si>
  <si>
    <t>AJENJO BLANCO 30 GR</t>
  </si>
  <si>
    <t>OREMA</t>
  </si>
  <si>
    <t>AJI MOLIDO X 50 GR</t>
  </si>
  <si>
    <t>USNO2</t>
  </si>
  <si>
    <t>INCAYUYO</t>
  </si>
  <si>
    <t>BOLSITA</t>
  </si>
  <si>
    <t>USNO3</t>
  </si>
  <si>
    <t>SANALOTODO</t>
  </si>
  <si>
    <t>USNO4</t>
  </si>
  <si>
    <t>VIRO VIRE</t>
  </si>
  <si>
    <t>USNO5</t>
  </si>
  <si>
    <t>CHINCHIL</t>
  </si>
  <si>
    <t>CANDE ALBA</t>
  </si>
  <si>
    <t>ALBAHACA X 20 GR</t>
  </si>
  <si>
    <t>LAUREL</t>
  </si>
  <si>
    <t xml:space="preserve">LAUREL </t>
  </si>
  <si>
    <t>MHT</t>
  </si>
  <si>
    <t>MIX HIERBAS TERERE</t>
  </si>
  <si>
    <t>Eä Medicina Natural</t>
  </si>
  <si>
    <t>LISTA DE PRECIOS PUBLICO AL  17/4/26</t>
  </si>
  <si>
    <t>EA36</t>
  </si>
  <si>
    <t xml:space="preserve">ACEITE  MASAJES CANELA Y LAVANDA </t>
  </si>
  <si>
    <t>10ml</t>
  </si>
  <si>
    <t>EA14</t>
  </si>
  <si>
    <t xml:space="preserve">ACEITE ALMENDRAS </t>
  </si>
  <si>
    <t>30ml</t>
  </si>
  <si>
    <t>EA15</t>
  </si>
  <si>
    <t>EA32</t>
  </si>
  <si>
    <t>ACEITE DE COCO ORGÁNICO NO REFINADO</t>
  </si>
  <si>
    <t>EA 37</t>
  </si>
  <si>
    <t xml:space="preserve">ACEITE JARILLA ROMERO PALO SANTO </t>
  </si>
  <si>
    <t>EA38</t>
  </si>
  <si>
    <t>EA16</t>
  </si>
  <si>
    <t>ACEITE JOJOBA GOLDEN ORGÁNICO</t>
  </si>
  <si>
    <t>EA17</t>
  </si>
  <si>
    <t>EA33</t>
  </si>
  <si>
    <t xml:space="preserve">ACEITE MASAJES CANELA Y LAVANDA </t>
  </si>
  <si>
    <t>EA 48</t>
  </si>
  <si>
    <t>ACEITE PARA BARBA 30ML</t>
  </si>
  <si>
    <t>EA49</t>
  </si>
  <si>
    <t>ACEITE PARA BARBA X 10 ML</t>
  </si>
  <si>
    <t>EA31</t>
  </si>
  <si>
    <t>ACEITE PURO ALMENDRA</t>
  </si>
  <si>
    <t>EA28</t>
  </si>
  <si>
    <t xml:space="preserve">ACEITE PURO ALMENDRAS </t>
  </si>
  <si>
    <t>EA50</t>
  </si>
  <si>
    <t>ACEITE PURO RICINO X 10 ML</t>
  </si>
  <si>
    <t>EA12</t>
  </si>
  <si>
    <t>ACEITE PURO ROSA MOSQUETA ORGANICO</t>
  </si>
  <si>
    <t>EA13</t>
  </si>
  <si>
    <t>ACEITE PURO ROSA MOSQUETA ORGÁNICO</t>
  </si>
  <si>
    <t>EA19</t>
  </si>
  <si>
    <t>AGUITA ARMONIA (citricos y vetiver)</t>
  </si>
  <si>
    <t>60ml</t>
  </si>
  <si>
    <t>EA20</t>
  </si>
  <si>
    <t>AGUITA ARMONIA (cítricos y vetiver)</t>
  </si>
  <si>
    <t>EA23</t>
  </si>
  <si>
    <t>AGÜITA FLORIDA (canela, clavo de olor, romero, naranja y lavanda)</t>
  </si>
  <si>
    <t>EA24</t>
  </si>
  <si>
    <t>EA21</t>
  </si>
  <si>
    <t>AGÜITA LAVANDA (lavanda y sándalo)</t>
  </si>
  <si>
    <t>EA22</t>
  </si>
  <si>
    <t>EA27</t>
  </si>
  <si>
    <t>BALSAMO LABIAL (Caléndula y karité)</t>
  </si>
  <si>
    <t>40ml</t>
  </si>
  <si>
    <t>EA26</t>
  </si>
  <si>
    <t>28ml</t>
  </si>
  <si>
    <t>EA6</t>
  </si>
  <si>
    <t>CREMA CUERPO CHICA</t>
  </si>
  <si>
    <t>EA4</t>
  </si>
  <si>
    <t>CREMA CUERPO GRANDE</t>
  </si>
  <si>
    <t>EA5</t>
  </si>
  <si>
    <t>CREMA CUERPO MEDIANA</t>
  </si>
  <si>
    <t>EA9</t>
  </si>
  <si>
    <t>CREMA MANOS CHICA</t>
  </si>
  <si>
    <t>EA7</t>
  </si>
  <si>
    <t>CREMA MANOS GRANDE</t>
  </si>
  <si>
    <t>EA8</t>
  </si>
  <si>
    <t>CREMA MANOS MEDIANA</t>
  </si>
  <si>
    <t>EA1</t>
  </si>
  <si>
    <t xml:space="preserve">CREMA ROSTRO </t>
  </si>
  <si>
    <t>CREMA ROSTRO CHICA</t>
  </si>
  <si>
    <t>EA2</t>
  </si>
  <si>
    <t>CREMA ROSTRO MEDIANA</t>
  </si>
  <si>
    <t>EA11</t>
  </si>
  <si>
    <t>DESODORANTE CHICO</t>
  </si>
  <si>
    <t>EA10</t>
  </si>
  <si>
    <t>DESODORANTE GRANDE</t>
  </si>
  <si>
    <t>EA56</t>
  </si>
  <si>
    <t xml:space="preserve">DETERGENTE BIODEGRADABLE </t>
  </si>
  <si>
    <t>500 ML</t>
  </si>
  <si>
    <t>EA 54</t>
  </si>
  <si>
    <t>FLORAL (PERFUME ROLL ON)</t>
  </si>
  <si>
    <t>EA 46</t>
  </si>
  <si>
    <t>JARABE PARA LA TOS X 100 ML</t>
  </si>
  <si>
    <t>EA 52</t>
  </si>
  <si>
    <t>PASTA DE DIENTES propóleo y menta (frasco)</t>
  </si>
  <si>
    <t>EA 51</t>
  </si>
  <si>
    <t>PASTA DE DIENTES propóleo y menta (válvula)</t>
  </si>
  <si>
    <t>EA41</t>
  </si>
  <si>
    <t>RELAJANTE DESINFLAMATORIA (jarilla y romero)</t>
  </si>
  <si>
    <t>EA 42</t>
  </si>
  <si>
    <t>EA 43</t>
  </si>
  <si>
    <t>EA 55</t>
  </si>
  <si>
    <t xml:space="preserve">TINTURA DE PROPÓLEO </t>
  </si>
  <si>
    <t>EA25</t>
  </si>
  <si>
    <t>TINTURA MADRE PLANTAS (consutlar variedades)</t>
  </si>
  <si>
    <t>EA 47</t>
  </si>
  <si>
    <t>TONICO CAPILAR X 100 ML</t>
  </si>
  <si>
    <t>EA18</t>
  </si>
  <si>
    <t>TÓNICO FACIAL HIDROLATO  (geranio/lavanda)</t>
  </si>
  <si>
    <t>EA 44</t>
  </si>
  <si>
    <t xml:space="preserve">UNGÜENTO DE JARILLA </t>
  </si>
  <si>
    <t>EA 45</t>
  </si>
  <si>
    <t>EA46</t>
  </si>
  <si>
    <t>REGENERADOR FACIAL</t>
  </si>
  <si>
    <t>100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</si>
</sst>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9" tint="-0.249977111117893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b/>
      <sz val="12"/>
      <color rgb="FF7030A0"/>
      <name val="Arial"/>
      <family val="2"/>
    </font>
    <font>
      <b/>
      <sz val="12"/>
      <color theme="5" tint="-0.249977111117893"/>
      <name val="Arial"/>
      <family val="2"/>
    </font>
    <font>
      <b/>
      <sz val="12"/>
      <color rgb="FF990000"/>
      <name val="Arial"/>
      <family val="2"/>
    </font>
    <font>
      <b/>
      <sz val="12"/>
      <color theme="9" tint="-0.499984740745262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1" xfId="0" applyFont="1" applyBorder="1"/>
    <xf numFmtId="14" fontId="2" fillId="0" borderId="2" xfId="0" applyNumberFormat="1" applyFont="1" applyBorder="1"/>
    <xf numFmtId="16" fontId="2" fillId="0" borderId="3" xfId="0" applyNumberFormat="1" applyFont="1" applyBorder="1"/>
    <xf numFmtId="0" fontId="2" fillId="0" borderId="2" xfId="0" applyFont="1" applyBorder="1"/>
    <xf numFmtId="0" fontId="2" fillId="0" borderId="4" xfId="0" applyFont="1" applyBorder="1"/>
    <xf numFmtId="0" fontId="0" fillId="0" borderId="5" xfId="0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0" fontId="2" fillId="2" borderId="13" xfId="0" applyFont="1" applyFill="1" applyBorder="1"/>
    <xf numFmtId="0" fontId="0" fillId="0" borderId="14" xfId="0" applyBorder="1"/>
    <xf numFmtId="0" fontId="1" fillId="0" borderId="13" xfId="0" applyFont="1" applyBorder="1"/>
    <xf numFmtId="0" fontId="2" fillId="0" borderId="15" xfId="0" applyFont="1" applyBorder="1"/>
    <xf numFmtId="0" fontId="1" fillId="0" borderId="15" xfId="0" applyFont="1" applyBorder="1"/>
    <xf numFmtId="0" fontId="1" fillId="0" borderId="5" xfId="0" applyFont="1" applyBorder="1"/>
    <xf numFmtId="0" fontId="3" fillId="0" borderId="13" xfId="0" applyFont="1" applyBorder="1"/>
    <xf numFmtId="0" fontId="4" fillId="0" borderId="13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12" fontId="3" fillId="0" borderId="13" xfId="0" applyNumberFormat="1" applyFont="1" applyBorder="1"/>
    <xf numFmtId="0" fontId="6" fillId="0" borderId="13" xfId="0" applyFont="1" applyBorder="1"/>
    <xf numFmtId="0" fontId="5" fillId="0" borderId="13" xfId="0" applyFont="1" applyBorder="1"/>
    <xf numFmtId="0" fontId="3" fillId="0" borderId="13" xfId="0" applyFont="1" applyBorder="1" applyAlignment="1">
      <alignment wrapText="1"/>
    </xf>
    <xf numFmtId="0" fontId="3" fillId="0" borderId="13" xfId="0" applyFont="1" applyBorder="1" applyAlignment="1">
      <alignment horizontal="left"/>
    </xf>
    <xf numFmtId="0" fontId="3" fillId="0" borderId="13" xfId="0" applyFont="1" applyBorder="1" applyAlignment="1">
      <alignment horizontal="right"/>
    </xf>
    <xf numFmtId="0" fontId="7" fillId="0" borderId="13" xfId="0" applyFont="1" applyBorder="1" applyAlignment="1">
      <alignment horizontal="left"/>
    </xf>
    <xf numFmtId="0" fontId="8" fillId="0" borderId="13" xfId="0" applyFont="1" applyBorder="1" applyAlignment="1">
      <alignment horizontal="center"/>
    </xf>
    <xf numFmtId="0" fontId="3" fillId="0" borderId="13" xfId="0" applyFont="1" applyBorder="1" applyAlignment="1">
      <alignment shrinkToFit="1"/>
    </xf>
    <xf numFmtId="0" fontId="6" fillId="0" borderId="13" xfId="0" applyFont="1" applyBorder="1" applyAlignment="1">
      <alignment horizontal="left"/>
    </xf>
    <xf numFmtId="0" fontId="6" fillId="0" borderId="13" xfId="0" applyFont="1" applyBorder="1" applyAlignment="1">
      <alignment horizontal="right"/>
    </xf>
    <xf numFmtId="0" fontId="3" fillId="0" borderId="13" xfId="0" applyFont="1" applyBorder="1" applyAlignment="1">
      <alignment horizontal="right" wrapText="1"/>
    </xf>
    <xf numFmtId="0" fontId="9" fillId="0" borderId="13" xfId="0" applyFont="1" applyBorder="1" applyAlignment="1">
      <alignment horizontal="center"/>
    </xf>
    <xf numFmtId="0" fontId="6" fillId="0" borderId="13" xfId="0" applyFont="1" applyBorder="1" applyAlignment="1">
      <alignment shrinkToFit="1"/>
    </xf>
    <xf numFmtId="0" fontId="0" fillId="0" borderId="13" xfId="0" applyBorder="1"/>
    <xf numFmtId="0" fontId="10" fillId="0" borderId="13" xfId="0" applyFont="1" applyBorder="1" applyAlignment="1">
      <alignment horizontal="left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66674</xdr:colOff>
      <xdr:row>0</xdr:row>
      <xdr:rowOff>0</xdr:rowOff>
    </xdr:from>
    <xdr:to>
      <xdr:col>5</xdr:col>
      <xdr:colOff>154305</xdr:colOff>
      <xdr:row>17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5FF0BB-E4E1-4A8C-B829-0140A290E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1114" y="0"/>
          <a:ext cx="3257551" cy="31280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6818F-776C-4067-A41C-8CA6FFA51070}">
  <dimension ref="A1:J25"/>
  <sheetViews>
    <sheetView workbookViewId="0">
      <selection activeCell="D29" sqref="D29"/>
    </sheetView>
  </sheetViews>
  <sheetFormatPr baseColWidth="10" defaultRowHeight="14.4" x14ac:dyDescent="0.3"/>
  <sheetData>
    <row r="1" spans="1:10" ht="15" thickBot="1" x14ac:dyDescent="0.35">
      <c r="A1" s="1" t="s">
        <v>0</v>
      </c>
      <c r="B1" s="2"/>
      <c r="C1" s="3" t="s">
        <v>1</v>
      </c>
      <c r="D1" s="1" t="s">
        <v>2</v>
      </c>
      <c r="E1" s="4"/>
      <c r="F1" s="5">
        <v>37090</v>
      </c>
      <c r="G1" s="6"/>
    </row>
    <row r="2" spans="1:10" ht="15" thickBot="1" x14ac:dyDescent="0.35">
      <c r="A2" s="7" t="s">
        <v>3</v>
      </c>
      <c r="B2" s="5" t="s">
        <v>4</v>
      </c>
      <c r="C2" s="8" t="s">
        <v>5</v>
      </c>
      <c r="D2" s="9" t="s">
        <v>6</v>
      </c>
      <c r="E2" s="1" t="s">
        <v>7</v>
      </c>
      <c r="F2" s="5" t="s">
        <v>8</v>
      </c>
      <c r="G2" s="6"/>
    </row>
    <row r="3" spans="1:10" x14ac:dyDescent="0.3">
      <c r="A3" s="10" t="s">
        <v>9</v>
      </c>
      <c r="B3" s="11">
        <v>1</v>
      </c>
      <c r="C3" s="11">
        <v>2500</v>
      </c>
      <c r="D3" s="11">
        <v>2500</v>
      </c>
      <c r="E3" s="11" t="s">
        <v>10</v>
      </c>
      <c r="F3" s="11"/>
      <c r="G3" s="12"/>
    </row>
    <row r="4" spans="1:10" x14ac:dyDescent="0.3">
      <c r="A4" s="13" t="s">
        <v>11</v>
      </c>
      <c r="B4" s="14">
        <v>1</v>
      </c>
      <c r="C4" s="14">
        <v>9000</v>
      </c>
      <c r="D4" s="14">
        <v>9000</v>
      </c>
      <c r="E4" s="15" t="s">
        <v>12</v>
      </c>
      <c r="F4" s="14"/>
      <c r="G4" s="16"/>
    </row>
    <row r="5" spans="1:10" x14ac:dyDescent="0.3">
      <c r="A5" s="13" t="s">
        <v>13</v>
      </c>
      <c r="B5" s="14">
        <v>5</v>
      </c>
      <c r="C5" s="14">
        <v>2000</v>
      </c>
      <c r="D5" s="14">
        <v>2000</v>
      </c>
      <c r="E5" s="14" t="s">
        <v>10</v>
      </c>
      <c r="F5" s="14"/>
      <c r="G5" s="16"/>
    </row>
    <row r="6" spans="1:10" x14ac:dyDescent="0.3">
      <c r="A6" s="13" t="s">
        <v>13</v>
      </c>
      <c r="B6" s="14">
        <v>7</v>
      </c>
      <c r="C6" s="14">
        <v>2800</v>
      </c>
      <c r="D6" s="14">
        <v>2800</v>
      </c>
      <c r="E6" s="14" t="s">
        <v>10</v>
      </c>
      <c r="F6" s="14"/>
      <c r="G6" s="16"/>
    </row>
    <row r="7" spans="1:10" x14ac:dyDescent="0.3">
      <c r="A7" s="13" t="s">
        <v>14</v>
      </c>
      <c r="B7" s="14">
        <v>30</v>
      </c>
      <c r="C7" s="14">
        <v>12000</v>
      </c>
      <c r="D7" s="14">
        <v>12000</v>
      </c>
      <c r="E7" s="14" t="s">
        <v>10</v>
      </c>
      <c r="F7" s="14"/>
      <c r="G7" s="16"/>
    </row>
    <row r="8" spans="1:10" x14ac:dyDescent="0.3">
      <c r="A8" s="13" t="s">
        <v>15</v>
      </c>
      <c r="B8" s="14">
        <v>1</v>
      </c>
      <c r="C8" s="14">
        <v>2800</v>
      </c>
      <c r="D8" s="14">
        <v>2800</v>
      </c>
      <c r="E8" s="14" t="s">
        <v>10</v>
      </c>
      <c r="F8" s="14" t="s">
        <v>16</v>
      </c>
      <c r="G8" s="17">
        <v>0</v>
      </c>
      <c r="H8" s="17"/>
      <c r="I8" s="17"/>
      <c r="J8" s="17"/>
    </row>
    <row r="9" spans="1:10" x14ac:dyDescent="0.3">
      <c r="A9" s="13" t="s">
        <v>17</v>
      </c>
      <c r="B9" s="14">
        <v>1</v>
      </c>
      <c r="C9" s="14">
        <v>5000</v>
      </c>
      <c r="D9" s="14">
        <v>5000</v>
      </c>
      <c r="E9" s="15" t="s">
        <v>12</v>
      </c>
      <c r="F9" s="14">
        <v>20000</v>
      </c>
      <c r="G9" s="17">
        <f>+F9*7</f>
        <v>140000</v>
      </c>
      <c r="H9" s="17"/>
      <c r="I9" s="17"/>
      <c r="J9" s="17"/>
    </row>
    <row r="10" spans="1:10" x14ac:dyDescent="0.3">
      <c r="A10" s="13" t="s">
        <v>17</v>
      </c>
      <c r="B10" s="14">
        <v>1</v>
      </c>
      <c r="C10" s="14">
        <v>5000</v>
      </c>
      <c r="D10" s="14">
        <v>5000</v>
      </c>
      <c r="E10" s="15" t="s">
        <v>12</v>
      </c>
      <c r="F10" s="14">
        <v>10000</v>
      </c>
      <c r="G10" s="17">
        <f>+F10*2</f>
        <v>20000</v>
      </c>
      <c r="H10" s="14"/>
      <c r="I10" s="17"/>
      <c r="J10" s="17"/>
    </row>
    <row r="11" spans="1:10" x14ac:dyDescent="0.3">
      <c r="A11" s="13" t="s">
        <v>18</v>
      </c>
      <c r="B11" s="14">
        <v>1</v>
      </c>
      <c r="C11" s="14">
        <v>14500</v>
      </c>
      <c r="D11" s="14"/>
      <c r="E11" s="14"/>
      <c r="F11" s="14">
        <v>2000</v>
      </c>
      <c r="G11" s="17">
        <f>+F11*6</f>
        <v>12000</v>
      </c>
      <c r="H11" s="17">
        <v>12000</v>
      </c>
      <c r="I11" s="17"/>
      <c r="J11" s="17"/>
    </row>
    <row r="12" spans="1:10" x14ac:dyDescent="0.3">
      <c r="A12" s="13" t="s">
        <v>13</v>
      </c>
      <c r="B12" s="14">
        <v>4</v>
      </c>
      <c r="C12" s="14">
        <v>1200</v>
      </c>
      <c r="D12" s="14"/>
      <c r="E12" s="14"/>
      <c r="F12" s="14">
        <v>1000</v>
      </c>
      <c r="G12" s="17">
        <f>+F12*8</f>
        <v>8000</v>
      </c>
      <c r="H12" s="17">
        <v>9000</v>
      </c>
      <c r="I12" s="17"/>
      <c r="J12" s="17"/>
    </row>
    <row r="13" spans="1:10" x14ac:dyDescent="0.3">
      <c r="A13" s="13" t="s">
        <v>19</v>
      </c>
      <c r="B13" s="14">
        <v>1</v>
      </c>
      <c r="C13" s="14">
        <v>12000</v>
      </c>
      <c r="D13" s="14"/>
      <c r="E13" s="14"/>
      <c r="F13" s="14">
        <v>500</v>
      </c>
      <c r="G13" s="17">
        <f>+F13*20</f>
        <v>10000</v>
      </c>
      <c r="H13" s="17">
        <v>10000</v>
      </c>
      <c r="I13" s="17"/>
      <c r="J13" s="17"/>
    </row>
    <row r="14" spans="1:10" x14ac:dyDescent="0.3">
      <c r="A14" s="13" t="s">
        <v>20</v>
      </c>
      <c r="B14" s="14">
        <v>1</v>
      </c>
      <c r="C14" s="14">
        <v>15500</v>
      </c>
      <c r="D14" s="14"/>
      <c r="E14" s="14"/>
      <c r="F14" s="14">
        <v>200</v>
      </c>
      <c r="G14" s="17">
        <f>+F14*16</f>
        <v>3200</v>
      </c>
      <c r="H14" s="17">
        <v>3200</v>
      </c>
      <c r="I14" s="17"/>
      <c r="J14" s="17"/>
    </row>
    <row r="15" spans="1:10" x14ac:dyDescent="0.3">
      <c r="A15" s="13" t="s">
        <v>21</v>
      </c>
      <c r="B15" s="14">
        <v>1</v>
      </c>
      <c r="C15" s="14">
        <v>11500</v>
      </c>
      <c r="D15" s="14">
        <f>SUM(C11:C15)</f>
        <v>54700</v>
      </c>
      <c r="E15" s="14" t="s">
        <v>10</v>
      </c>
      <c r="F15" s="14">
        <v>100</v>
      </c>
      <c r="G15" s="17">
        <f>+F15*22</f>
        <v>2200</v>
      </c>
      <c r="H15" s="17">
        <v>2200</v>
      </c>
      <c r="I15" s="17"/>
      <c r="J15" s="17"/>
    </row>
    <row r="16" spans="1:10" x14ac:dyDescent="0.3">
      <c r="A16" s="13" t="s">
        <v>18</v>
      </c>
      <c r="B16" s="14">
        <v>2</v>
      </c>
      <c r="C16" s="14">
        <v>29000</v>
      </c>
      <c r="D16" s="14"/>
      <c r="E16" s="14"/>
      <c r="F16" s="14">
        <v>50</v>
      </c>
      <c r="G16" s="17">
        <v>50</v>
      </c>
      <c r="H16" s="17">
        <v>50</v>
      </c>
      <c r="I16" s="17"/>
      <c r="J16" s="17"/>
    </row>
    <row r="17" spans="1:10" x14ac:dyDescent="0.3">
      <c r="A17" s="13" t="s">
        <v>22</v>
      </c>
      <c r="B17" s="14">
        <v>2</v>
      </c>
      <c r="C17" s="14">
        <v>14000</v>
      </c>
      <c r="D17" s="14"/>
      <c r="E17" s="14"/>
      <c r="F17" s="14">
        <v>20</v>
      </c>
      <c r="G17" s="17">
        <v>40</v>
      </c>
      <c r="H17" s="17">
        <v>40</v>
      </c>
      <c r="I17" s="17"/>
      <c r="J17" s="17"/>
    </row>
    <row r="18" spans="1:10" x14ac:dyDescent="0.3">
      <c r="A18" s="13" t="s">
        <v>20</v>
      </c>
      <c r="B18" s="14">
        <v>1</v>
      </c>
      <c r="C18" s="14">
        <v>15000</v>
      </c>
      <c r="D18" s="14"/>
      <c r="E18" s="14"/>
      <c r="F18" s="14"/>
      <c r="G18" s="17">
        <f>SUM(G8:G17)</f>
        <v>195490</v>
      </c>
      <c r="H18" s="17">
        <f>SUM(H11:H17)</f>
        <v>36490</v>
      </c>
      <c r="I18" s="17"/>
      <c r="J18" s="17">
        <f>SUM(H18:I18)</f>
        <v>36490</v>
      </c>
    </row>
    <row r="19" spans="1:10" x14ac:dyDescent="0.3">
      <c r="A19" s="13" t="s">
        <v>23</v>
      </c>
      <c r="B19" s="14">
        <v>2</v>
      </c>
      <c r="C19" s="14">
        <v>6000</v>
      </c>
      <c r="D19" s="14"/>
      <c r="E19" s="14"/>
      <c r="F19" s="18"/>
      <c r="G19" s="17">
        <v>-37090</v>
      </c>
      <c r="H19" s="17"/>
      <c r="I19" s="17"/>
      <c r="J19" s="17">
        <f>SUM(H19:I19)</f>
        <v>0</v>
      </c>
    </row>
    <row r="20" spans="1:10" x14ac:dyDescent="0.3">
      <c r="A20" s="13" t="s">
        <v>24</v>
      </c>
      <c r="B20" s="14">
        <v>2</v>
      </c>
      <c r="C20" s="14">
        <v>2400</v>
      </c>
      <c r="D20" s="14"/>
      <c r="E20" s="14"/>
      <c r="F20" s="14"/>
      <c r="G20" s="17">
        <f>SUM(G18:G19)</f>
        <v>158400</v>
      </c>
      <c r="H20" s="17"/>
      <c r="I20" s="17"/>
      <c r="J20" s="17"/>
    </row>
    <row r="21" spans="1:10" x14ac:dyDescent="0.3">
      <c r="A21" s="13" t="s">
        <v>25</v>
      </c>
      <c r="B21" s="14">
        <v>1</v>
      </c>
      <c r="C21" s="14">
        <v>1200</v>
      </c>
      <c r="D21" s="14"/>
      <c r="E21" s="14"/>
      <c r="F21" s="14"/>
      <c r="G21" s="17"/>
      <c r="H21" s="17"/>
      <c r="I21" s="17"/>
      <c r="J21" s="17"/>
    </row>
    <row r="22" spans="1:10" x14ac:dyDescent="0.3">
      <c r="A22" s="13" t="s">
        <v>26</v>
      </c>
      <c r="B22" s="14">
        <v>1</v>
      </c>
      <c r="C22" s="14">
        <v>7000</v>
      </c>
      <c r="D22" s="14"/>
      <c r="E22" s="14"/>
      <c r="F22" s="18"/>
      <c r="G22" s="17"/>
      <c r="H22" s="17"/>
      <c r="I22" s="17"/>
      <c r="J22" s="17"/>
    </row>
    <row r="23" spans="1:10" x14ac:dyDescent="0.3">
      <c r="A23" s="13" t="s">
        <v>27</v>
      </c>
      <c r="B23" s="14">
        <v>1</v>
      </c>
      <c r="C23" s="14">
        <v>7000</v>
      </c>
      <c r="D23" s="14">
        <f>SUM(C16:C23)</f>
        <v>81600</v>
      </c>
      <c r="E23" s="14" t="s">
        <v>10</v>
      </c>
      <c r="F23" s="14" t="s">
        <v>10</v>
      </c>
      <c r="G23" s="17">
        <v>158400</v>
      </c>
      <c r="H23" s="17"/>
      <c r="I23" s="17"/>
      <c r="J23" s="17"/>
    </row>
    <row r="24" spans="1:10" ht="15" thickBot="1" x14ac:dyDescent="0.35">
      <c r="A24" s="13"/>
      <c r="B24" s="14"/>
      <c r="C24" s="14"/>
      <c r="D24" s="14"/>
      <c r="E24" s="14"/>
      <c r="F24" s="18" t="s">
        <v>12</v>
      </c>
      <c r="G24" s="19">
        <v>19000</v>
      </c>
      <c r="H24" s="17"/>
      <c r="I24" s="17"/>
      <c r="J24" s="17"/>
    </row>
    <row r="25" spans="1:10" ht="15" thickBot="1" x14ac:dyDescent="0.35">
      <c r="A25" s="7"/>
      <c r="B25" s="5"/>
      <c r="C25" s="8">
        <f>SUM(C3:C24)</f>
        <v>177400</v>
      </c>
      <c r="D25" s="9">
        <f>SUBTOTAL(9,D3:D24)</f>
        <v>177400</v>
      </c>
      <c r="E25" s="1"/>
      <c r="F25" s="5"/>
      <c r="G25" s="20">
        <f>SUM(G23:G24)</f>
        <v>177400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8D555-F304-4E38-BD03-8DC02D9E41C3}">
  <dimension ref="A19:J610"/>
  <sheetViews>
    <sheetView tabSelected="1" workbookViewId="0">
      <selection activeCell="J14" sqref="J14"/>
    </sheetView>
  </sheetViews>
  <sheetFormatPr baseColWidth="10" defaultRowHeight="14.4" x14ac:dyDescent="0.3"/>
  <sheetData>
    <row r="19" spans="1:10" ht="15.6" x14ac:dyDescent="0.3">
      <c r="A19" s="21">
        <v>1</v>
      </c>
      <c r="B19" s="22" t="s">
        <v>28</v>
      </c>
      <c r="C19" s="23"/>
      <c r="D19" s="23"/>
      <c r="E19" s="21"/>
    </row>
    <row r="20" spans="1:10" ht="15.6" x14ac:dyDescent="0.3">
      <c r="A20" s="21" t="s">
        <v>29</v>
      </c>
      <c r="B20" s="21" t="s">
        <v>30</v>
      </c>
      <c r="C20" s="21"/>
      <c r="D20" s="21"/>
      <c r="E20" s="21"/>
    </row>
    <row r="21" spans="1:10" ht="15.6" x14ac:dyDescent="0.3">
      <c r="A21" s="21" t="s">
        <v>3</v>
      </c>
      <c r="B21" s="21" t="s">
        <v>31</v>
      </c>
      <c r="C21" s="21" t="s">
        <v>32</v>
      </c>
      <c r="D21" s="21" t="s">
        <v>5</v>
      </c>
      <c r="E21" s="21"/>
    </row>
    <row r="22" spans="1:10" ht="15.6" x14ac:dyDescent="0.3">
      <c r="A22" s="21" t="s">
        <v>33</v>
      </c>
      <c r="B22" s="21" t="s">
        <v>34</v>
      </c>
      <c r="C22" s="21" t="s">
        <v>35</v>
      </c>
      <c r="D22" s="21">
        <v>7500</v>
      </c>
      <c r="E22" s="21"/>
    </row>
    <row r="23" spans="1:10" ht="15.6" x14ac:dyDescent="0.3">
      <c r="A23" s="21" t="s">
        <v>36</v>
      </c>
      <c r="B23" s="21" t="s">
        <v>37</v>
      </c>
      <c r="C23" s="24" t="s">
        <v>38</v>
      </c>
      <c r="D23" s="21">
        <v>4000</v>
      </c>
      <c r="E23" s="21"/>
      <c r="F23" s="21"/>
      <c r="G23" s="21"/>
      <c r="H23" s="24"/>
      <c r="I23" s="21"/>
      <c r="J23" s="21"/>
    </row>
    <row r="24" spans="1:10" ht="15.6" x14ac:dyDescent="0.3">
      <c r="A24" s="21" t="s">
        <v>39</v>
      </c>
      <c r="B24" s="21" t="s">
        <v>40</v>
      </c>
      <c r="C24" s="24" t="s">
        <v>41</v>
      </c>
      <c r="D24" s="21">
        <v>0</v>
      </c>
      <c r="E24" s="21"/>
      <c r="F24" s="21"/>
      <c r="G24" s="21"/>
      <c r="H24" s="24"/>
      <c r="I24" s="21"/>
      <c r="J24" s="21"/>
    </row>
    <row r="25" spans="1:10" ht="15.6" x14ac:dyDescent="0.3">
      <c r="A25" s="21" t="s">
        <v>42</v>
      </c>
      <c r="B25" s="21" t="s">
        <v>43</v>
      </c>
      <c r="C25" s="24" t="s">
        <v>44</v>
      </c>
      <c r="D25" s="21">
        <v>16000</v>
      </c>
      <c r="E25" s="21"/>
      <c r="F25" s="21"/>
      <c r="G25" s="21"/>
      <c r="H25" s="24"/>
      <c r="I25" s="21"/>
      <c r="J25" s="21"/>
    </row>
    <row r="26" spans="1:10" ht="15.6" x14ac:dyDescent="0.3">
      <c r="A26" s="21" t="s">
        <v>45</v>
      </c>
      <c r="B26" s="21" t="s">
        <v>46</v>
      </c>
      <c r="C26" s="24" t="s">
        <v>44</v>
      </c>
      <c r="D26" s="21">
        <v>17000</v>
      </c>
      <c r="E26" s="21"/>
      <c r="F26" s="21"/>
      <c r="G26" s="21"/>
      <c r="H26" s="24"/>
      <c r="I26" s="21"/>
      <c r="J26" s="21"/>
    </row>
    <row r="27" spans="1:10" ht="15.6" x14ac:dyDescent="0.3">
      <c r="A27" s="21" t="s">
        <v>47</v>
      </c>
      <c r="B27" s="21" t="s">
        <v>48</v>
      </c>
      <c r="C27" s="24" t="s">
        <v>32</v>
      </c>
      <c r="D27" s="21">
        <v>0</v>
      </c>
      <c r="E27" s="21"/>
      <c r="F27" s="21"/>
      <c r="G27" s="21"/>
      <c r="H27" s="24"/>
      <c r="I27" s="21"/>
      <c r="J27" s="21"/>
    </row>
    <row r="28" spans="1:10" ht="15.6" x14ac:dyDescent="0.3">
      <c r="A28" s="21" t="s">
        <v>49</v>
      </c>
      <c r="B28" s="21" t="s">
        <v>50</v>
      </c>
      <c r="C28" s="24" t="s">
        <v>32</v>
      </c>
      <c r="D28" s="21">
        <v>400</v>
      </c>
      <c r="E28" s="21"/>
    </row>
    <row r="29" spans="1:10" ht="15.6" x14ac:dyDescent="0.3">
      <c r="A29" s="21" t="s">
        <v>51</v>
      </c>
      <c r="B29" s="21" t="s">
        <v>52</v>
      </c>
      <c r="C29" s="21" t="s">
        <v>53</v>
      </c>
      <c r="D29" s="21">
        <v>4000</v>
      </c>
      <c r="E29" s="21"/>
    </row>
    <row r="30" spans="1:10" ht="15.6" x14ac:dyDescent="0.3">
      <c r="A30" s="21" t="s">
        <v>54</v>
      </c>
      <c r="B30" s="21" t="s">
        <v>55</v>
      </c>
      <c r="C30" s="21" t="s">
        <v>53</v>
      </c>
      <c r="D30" s="21">
        <v>4000</v>
      </c>
      <c r="E30" s="21"/>
    </row>
    <row r="31" spans="1:10" ht="15.6" x14ac:dyDescent="0.3">
      <c r="A31" s="21" t="s">
        <v>56</v>
      </c>
      <c r="B31" s="21" t="s">
        <v>57</v>
      </c>
      <c r="C31" s="21" t="s">
        <v>58</v>
      </c>
      <c r="D31" s="21">
        <v>4500</v>
      </c>
      <c r="E31" s="21"/>
    </row>
    <row r="32" spans="1:10" ht="15.6" x14ac:dyDescent="0.3">
      <c r="A32" s="21" t="s">
        <v>59</v>
      </c>
      <c r="B32" s="21" t="s">
        <v>60</v>
      </c>
      <c r="C32" s="21" t="s">
        <v>61</v>
      </c>
      <c r="D32" s="21">
        <v>5000</v>
      </c>
      <c r="E32" s="21"/>
    </row>
    <row r="33" spans="1:5" ht="15.6" x14ac:dyDescent="0.3">
      <c r="A33" s="21" t="s">
        <v>62</v>
      </c>
      <c r="B33" s="21" t="s">
        <v>63</v>
      </c>
      <c r="C33" s="21" t="s">
        <v>64</v>
      </c>
      <c r="D33" s="21">
        <v>1500</v>
      </c>
      <c r="E33" s="21"/>
    </row>
    <row r="34" spans="1:5" ht="15.6" x14ac:dyDescent="0.3">
      <c r="A34" s="21" t="s">
        <v>65</v>
      </c>
      <c r="B34" s="21" t="s">
        <v>66</v>
      </c>
      <c r="C34" s="21" t="s">
        <v>53</v>
      </c>
      <c r="D34" s="21">
        <v>19000</v>
      </c>
      <c r="E34" s="21"/>
    </row>
    <row r="35" spans="1:5" ht="15.6" x14ac:dyDescent="0.3">
      <c r="A35" s="21" t="s">
        <v>67</v>
      </c>
      <c r="B35" s="21" t="s">
        <v>68</v>
      </c>
      <c r="C35" s="21" t="s">
        <v>53</v>
      </c>
      <c r="D35" s="21">
        <v>11000</v>
      </c>
      <c r="E35" s="21"/>
    </row>
    <row r="36" spans="1:5" ht="15.6" x14ac:dyDescent="0.3">
      <c r="A36" s="21" t="s">
        <v>69</v>
      </c>
      <c r="B36" s="21" t="s">
        <v>70</v>
      </c>
      <c r="C36" s="21" t="s">
        <v>53</v>
      </c>
      <c r="D36" s="21">
        <v>11000</v>
      </c>
      <c r="E36" s="21"/>
    </row>
    <row r="37" spans="1:5" ht="15.6" x14ac:dyDescent="0.3">
      <c r="A37" s="21" t="s">
        <v>71</v>
      </c>
      <c r="B37" s="21" t="s">
        <v>72</v>
      </c>
      <c r="C37" s="21" t="s">
        <v>64</v>
      </c>
      <c r="D37" s="21">
        <v>13500</v>
      </c>
      <c r="E37" s="21"/>
    </row>
    <row r="38" spans="1:5" ht="15.6" x14ac:dyDescent="0.3">
      <c r="A38" s="21" t="s">
        <v>73</v>
      </c>
      <c r="B38" s="21" t="s">
        <v>74</v>
      </c>
      <c r="C38" s="21" t="s">
        <v>64</v>
      </c>
      <c r="D38" s="21">
        <v>13500</v>
      </c>
      <c r="E38" s="21"/>
    </row>
    <row r="39" spans="1:5" ht="15.6" x14ac:dyDescent="0.3">
      <c r="A39" s="21" t="s">
        <v>75</v>
      </c>
      <c r="B39" s="21" t="s">
        <v>76</v>
      </c>
      <c r="C39" s="21" t="s">
        <v>53</v>
      </c>
      <c r="D39" s="21">
        <v>8000</v>
      </c>
      <c r="E39" s="21"/>
    </row>
    <row r="40" spans="1:5" ht="15.6" x14ac:dyDescent="0.3">
      <c r="A40" s="21" t="s">
        <v>77</v>
      </c>
      <c r="B40" s="21" t="s">
        <v>78</v>
      </c>
      <c r="C40" s="21" t="s">
        <v>53</v>
      </c>
      <c r="D40" s="21">
        <v>6500</v>
      </c>
      <c r="E40" s="21"/>
    </row>
    <row r="41" spans="1:5" ht="15.6" x14ac:dyDescent="0.3">
      <c r="A41" s="21" t="s">
        <v>79</v>
      </c>
      <c r="B41" s="21" t="s">
        <v>80</v>
      </c>
      <c r="C41" s="21" t="s">
        <v>53</v>
      </c>
      <c r="D41" s="21">
        <v>11000</v>
      </c>
      <c r="E41" s="21"/>
    </row>
    <row r="42" spans="1:5" ht="15.6" x14ac:dyDescent="0.3">
      <c r="A42" s="21" t="s">
        <v>81</v>
      </c>
      <c r="B42" s="21" t="s">
        <v>82</v>
      </c>
      <c r="C42" s="21" t="s">
        <v>83</v>
      </c>
      <c r="D42" s="21">
        <v>3000</v>
      </c>
      <c r="E42" s="21"/>
    </row>
    <row r="43" spans="1:5" ht="15.6" x14ac:dyDescent="0.3">
      <c r="A43" s="21" t="s">
        <v>84</v>
      </c>
      <c r="B43" s="21" t="s">
        <v>85</v>
      </c>
      <c r="C43" s="21" t="s">
        <v>64</v>
      </c>
      <c r="D43" s="21">
        <v>3500</v>
      </c>
      <c r="E43" s="21"/>
    </row>
    <row r="44" spans="1:5" ht="15.6" x14ac:dyDescent="0.3">
      <c r="A44" s="21" t="s">
        <v>86</v>
      </c>
      <c r="B44" s="21" t="s">
        <v>87</v>
      </c>
      <c r="C44" s="21" t="s">
        <v>32</v>
      </c>
      <c r="D44" s="21">
        <v>8500</v>
      </c>
      <c r="E44" s="21"/>
    </row>
    <row r="45" spans="1:5" ht="15.6" x14ac:dyDescent="0.3">
      <c r="A45" s="21" t="s">
        <v>88</v>
      </c>
      <c r="B45" s="21" t="s">
        <v>89</v>
      </c>
      <c r="C45" s="21" t="s">
        <v>53</v>
      </c>
      <c r="D45" s="21">
        <v>10000</v>
      </c>
      <c r="E45" s="21"/>
    </row>
    <row r="46" spans="1:5" ht="15.6" x14ac:dyDescent="0.3">
      <c r="A46" s="21">
        <v>1</v>
      </c>
      <c r="B46" s="22" t="s">
        <v>28</v>
      </c>
      <c r="C46" s="23"/>
      <c r="D46" s="23"/>
      <c r="E46" s="21"/>
    </row>
    <row r="47" spans="1:5" ht="15.6" x14ac:dyDescent="0.3">
      <c r="A47" s="21" t="s">
        <v>29</v>
      </c>
      <c r="B47" s="21" t="s">
        <v>90</v>
      </c>
      <c r="C47" s="21"/>
      <c r="D47" s="21"/>
      <c r="E47" s="21"/>
    </row>
    <row r="48" spans="1:5" ht="15.6" x14ac:dyDescent="0.3">
      <c r="A48" s="21" t="s">
        <v>91</v>
      </c>
      <c r="B48" s="21" t="s">
        <v>92</v>
      </c>
      <c r="C48" s="21" t="s">
        <v>93</v>
      </c>
      <c r="D48" s="21">
        <v>6500</v>
      </c>
      <c r="E48" s="21"/>
    </row>
    <row r="49" spans="1:5" ht="15.6" x14ac:dyDescent="0.3">
      <c r="A49" s="21" t="s">
        <v>91</v>
      </c>
      <c r="B49" s="21" t="s">
        <v>92</v>
      </c>
      <c r="C49" s="21" t="s">
        <v>94</v>
      </c>
      <c r="D49" s="21">
        <v>3500</v>
      </c>
      <c r="E49" s="21"/>
    </row>
    <row r="50" spans="1:5" ht="15.6" x14ac:dyDescent="0.3">
      <c r="A50" s="21" t="s">
        <v>95</v>
      </c>
      <c r="B50" s="21" t="s">
        <v>96</v>
      </c>
      <c r="C50" s="21" t="s">
        <v>44</v>
      </c>
      <c r="D50" s="21">
        <v>6500</v>
      </c>
      <c r="E50" s="21"/>
    </row>
    <row r="51" spans="1:5" ht="15.6" x14ac:dyDescent="0.3">
      <c r="A51" s="21" t="s">
        <v>97</v>
      </c>
      <c r="B51" s="21" t="s">
        <v>96</v>
      </c>
      <c r="C51" s="21" t="s">
        <v>83</v>
      </c>
      <c r="D51" s="21">
        <v>3500</v>
      </c>
      <c r="E51" s="21"/>
    </row>
    <row r="52" spans="1:5" ht="15.6" x14ac:dyDescent="0.3">
      <c r="A52" s="21" t="s">
        <v>98</v>
      </c>
      <c r="B52" s="21" t="s">
        <v>99</v>
      </c>
      <c r="C52" s="21" t="s">
        <v>44</v>
      </c>
      <c r="D52" s="21">
        <v>5500</v>
      </c>
      <c r="E52" s="21"/>
    </row>
    <row r="53" spans="1:5" ht="15.6" x14ac:dyDescent="0.3">
      <c r="A53" s="21" t="s">
        <v>100</v>
      </c>
      <c r="B53" s="21" t="s">
        <v>101</v>
      </c>
      <c r="C53" s="25" t="s">
        <v>83</v>
      </c>
      <c r="D53" s="21">
        <v>3000</v>
      </c>
      <c r="E53" s="21"/>
    </row>
    <row r="54" spans="1:5" ht="15.6" x14ac:dyDescent="0.3">
      <c r="A54" s="21" t="s">
        <v>102</v>
      </c>
      <c r="B54" s="25" t="s">
        <v>103</v>
      </c>
      <c r="C54" s="25" t="s">
        <v>104</v>
      </c>
      <c r="D54" s="25">
        <v>6500</v>
      </c>
      <c r="E54" s="21"/>
    </row>
    <row r="55" spans="1:5" ht="15.6" x14ac:dyDescent="0.3">
      <c r="A55" s="21" t="s">
        <v>105</v>
      </c>
      <c r="B55" s="25" t="s">
        <v>103</v>
      </c>
      <c r="C55" s="25" t="s">
        <v>83</v>
      </c>
      <c r="D55" s="25">
        <v>3500</v>
      </c>
      <c r="E55" s="21"/>
    </row>
    <row r="56" spans="1:5" ht="15.6" x14ac:dyDescent="0.3">
      <c r="A56" s="21" t="s">
        <v>106</v>
      </c>
      <c r="B56" s="25" t="s">
        <v>107</v>
      </c>
      <c r="C56" s="25" t="s">
        <v>104</v>
      </c>
      <c r="D56" s="25">
        <v>6000</v>
      </c>
      <c r="E56" s="21"/>
    </row>
    <row r="57" spans="1:5" ht="15.6" x14ac:dyDescent="0.3">
      <c r="A57" s="21" t="s">
        <v>108</v>
      </c>
      <c r="B57" s="25" t="s">
        <v>107</v>
      </c>
      <c r="C57" s="25" t="s">
        <v>83</v>
      </c>
      <c r="D57" s="25">
        <v>3500</v>
      </c>
      <c r="E57" s="21"/>
    </row>
    <row r="58" spans="1:5" ht="15.6" x14ac:dyDescent="0.3">
      <c r="A58" s="21" t="s">
        <v>109</v>
      </c>
      <c r="B58" s="25" t="s">
        <v>110</v>
      </c>
      <c r="C58" s="25" t="s">
        <v>104</v>
      </c>
      <c r="D58" s="25">
        <v>5500</v>
      </c>
      <c r="E58" s="21"/>
    </row>
    <row r="59" spans="1:5" ht="15.6" x14ac:dyDescent="0.3">
      <c r="A59" s="21" t="s">
        <v>109</v>
      </c>
      <c r="B59" s="25" t="s">
        <v>110</v>
      </c>
      <c r="C59" s="25" t="s">
        <v>83</v>
      </c>
      <c r="D59" s="25">
        <v>3000</v>
      </c>
      <c r="E59" s="21"/>
    </row>
    <row r="60" spans="1:5" ht="15.6" x14ac:dyDescent="0.3">
      <c r="A60" s="21" t="s">
        <v>111</v>
      </c>
      <c r="B60" s="25" t="s">
        <v>112</v>
      </c>
      <c r="C60" s="25" t="s">
        <v>104</v>
      </c>
      <c r="D60" s="25">
        <v>6000</v>
      </c>
      <c r="E60" s="21"/>
    </row>
    <row r="61" spans="1:5" ht="15.6" x14ac:dyDescent="0.3">
      <c r="A61" s="21" t="s">
        <v>111</v>
      </c>
      <c r="B61" s="25" t="s">
        <v>112</v>
      </c>
      <c r="C61" s="25" t="s">
        <v>83</v>
      </c>
      <c r="D61" s="25">
        <v>3500</v>
      </c>
      <c r="E61" s="21"/>
    </row>
    <row r="62" spans="1:5" ht="15.6" x14ac:dyDescent="0.3">
      <c r="A62" s="21" t="s">
        <v>113</v>
      </c>
      <c r="B62" s="25" t="s">
        <v>114</v>
      </c>
      <c r="C62" s="25" t="s">
        <v>44</v>
      </c>
      <c r="D62" s="25">
        <v>4500</v>
      </c>
      <c r="E62" s="21"/>
    </row>
    <row r="63" spans="1:5" ht="15.6" x14ac:dyDescent="0.3">
      <c r="A63" s="21" t="s">
        <v>115</v>
      </c>
      <c r="B63" s="25" t="s">
        <v>114</v>
      </c>
      <c r="C63" s="21" t="s">
        <v>83</v>
      </c>
      <c r="D63" s="25">
        <v>2500</v>
      </c>
      <c r="E63" s="21"/>
    </row>
    <row r="64" spans="1:5" ht="15.6" x14ac:dyDescent="0.3">
      <c r="A64" s="21" t="s">
        <v>116</v>
      </c>
      <c r="B64" s="21" t="s">
        <v>117</v>
      </c>
      <c r="C64" s="21" t="s">
        <v>104</v>
      </c>
      <c r="D64" s="21">
        <v>6000</v>
      </c>
      <c r="E64" s="21"/>
    </row>
    <row r="65" spans="1:5" ht="15.6" x14ac:dyDescent="0.3">
      <c r="A65" s="21" t="s">
        <v>118</v>
      </c>
      <c r="B65" s="21" t="s">
        <v>117</v>
      </c>
      <c r="C65" s="21" t="s">
        <v>83</v>
      </c>
      <c r="D65" s="21">
        <v>3500</v>
      </c>
      <c r="E65" s="21"/>
    </row>
    <row r="66" spans="1:5" ht="15.6" x14ac:dyDescent="0.3">
      <c r="A66" s="21" t="s">
        <v>119</v>
      </c>
      <c r="B66" s="21" t="s">
        <v>120</v>
      </c>
      <c r="C66" s="21" t="s">
        <v>104</v>
      </c>
      <c r="D66" s="21">
        <v>11000</v>
      </c>
      <c r="E66" s="21"/>
    </row>
    <row r="67" spans="1:5" ht="15.6" x14ac:dyDescent="0.3">
      <c r="A67" s="21" t="s">
        <v>121</v>
      </c>
      <c r="B67" s="21" t="s">
        <v>120</v>
      </c>
      <c r="C67" s="21" t="s">
        <v>83</v>
      </c>
      <c r="D67" s="21">
        <v>6000</v>
      </c>
      <c r="E67" s="21"/>
    </row>
    <row r="68" spans="1:5" ht="15.6" x14ac:dyDescent="0.3">
      <c r="A68" s="21" t="s">
        <v>122</v>
      </c>
      <c r="B68" s="21" t="s">
        <v>123</v>
      </c>
      <c r="C68" s="21" t="s">
        <v>83</v>
      </c>
      <c r="D68" s="21">
        <v>4000</v>
      </c>
      <c r="E68" s="21"/>
    </row>
    <row r="69" spans="1:5" ht="15.6" x14ac:dyDescent="0.3">
      <c r="A69" s="21" t="s">
        <v>124</v>
      </c>
      <c r="B69" s="21" t="s">
        <v>125</v>
      </c>
      <c r="C69" s="21" t="s">
        <v>126</v>
      </c>
      <c r="D69" s="21">
        <v>8000</v>
      </c>
      <c r="E69" s="21"/>
    </row>
    <row r="70" spans="1:5" ht="15.6" x14ac:dyDescent="0.3">
      <c r="A70" s="21" t="s">
        <v>127</v>
      </c>
      <c r="B70" s="21" t="s">
        <v>128</v>
      </c>
      <c r="C70" s="21" t="s">
        <v>126</v>
      </c>
      <c r="D70" s="21">
        <v>10000</v>
      </c>
      <c r="E70" s="21"/>
    </row>
    <row r="71" spans="1:5" ht="15.6" x14ac:dyDescent="0.3">
      <c r="A71" s="21" t="s">
        <v>129</v>
      </c>
      <c r="B71" s="21" t="s">
        <v>130</v>
      </c>
      <c r="C71" s="21" t="s">
        <v>93</v>
      </c>
      <c r="D71" s="21">
        <v>6000</v>
      </c>
      <c r="E71" s="21"/>
    </row>
    <row r="72" spans="1:5" ht="15.6" x14ac:dyDescent="0.3">
      <c r="A72" s="21" t="s">
        <v>131</v>
      </c>
      <c r="B72" s="21" t="s">
        <v>132</v>
      </c>
      <c r="C72" s="21" t="s">
        <v>93</v>
      </c>
      <c r="D72" s="21">
        <v>5500</v>
      </c>
      <c r="E72" s="21"/>
    </row>
    <row r="73" spans="1:5" ht="15.6" x14ac:dyDescent="0.3">
      <c r="A73" s="21" t="s">
        <v>131</v>
      </c>
      <c r="B73" s="21" t="s">
        <v>132</v>
      </c>
      <c r="C73" s="21" t="s">
        <v>94</v>
      </c>
      <c r="D73" s="21">
        <v>3000</v>
      </c>
      <c r="E73" s="21"/>
    </row>
    <row r="74" spans="1:5" ht="15.6" x14ac:dyDescent="0.3">
      <c r="A74" s="21" t="s">
        <v>133</v>
      </c>
      <c r="B74" s="21" t="s">
        <v>134</v>
      </c>
      <c r="C74" s="21" t="s">
        <v>61</v>
      </c>
      <c r="D74" s="21">
        <v>3000</v>
      </c>
      <c r="E74" s="21"/>
    </row>
    <row r="75" spans="1:5" ht="15.6" x14ac:dyDescent="0.3">
      <c r="A75" s="21" t="s">
        <v>135</v>
      </c>
      <c r="B75" s="21" t="s">
        <v>136</v>
      </c>
      <c r="C75" s="21" t="s">
        <v>104</v>
      </c>
      <c r="D75" s="21">
        <v>1500</v>
      </c>
      <c r="E75" s="21"/>
    </row>
    <row r="76" spans="1:5" ht="15.6" x14ac:dyDescent="0.3">
      <c r="A76" s="21" t="s">
        <v>137</v>
      </c>
      <c r="B76" s="21" t="s">
        <v>136</v>
      </c>
      <c r="C76" s="21" t="s">
        <v>83</v>
      </c>
      <c r="D76" s="21">
        <v>800</v>
      </c>
      <c r="E76" s="21"/>
    </row>
    <row r="77" spans="1:5" ht="15.6" x14ac:dyDescent="0.3">
      <c r="A77" s="21" t="s">
        <v>138</v>
      </c>
      <c r="B77" s="21" t="s">
        <v>139</v>
      </c>
      <c r="C77" s="21" t="s">
        <v>104</v>
      </c>
      <c r="D77" s="21">
        <v>2500</v>
      </c>
      <c r="E77" s="21"/>
    </row>
    <row r="78" spans="1:5" ht="15.6" x14ac:dyDescent="0.3">
      <c r="A78" s="21" t="s">
        <v>140</v>
      </c>
      <c r="B78" s="21" t="s">
        <v>139</v>
      </c>
      <c r="C78" s="21" t="s">
        <v>83</v>
      </c>
      <c r="D78" s="21">
        <v>1500</v>
      </c>
      <c r="E78" s="21"/>
    </row>
    <row r="79" spans="1:5" ht="15.6" x14ac:dyDescent="0.3">
      <c r="A79" s="21" t="s">
        <v>141</v>
      </c>
      <c r="B79" s="21" t="s">
        <v>142</v>
      </c>
      <c r="C79" s="21" t="s">
        <v>104</v>
      </c>
      <c r="D79" s="21">
        <v>2000</v>
      </c>
      <c r="E79" s="21"/>
    </row>
    <row r="80" spans="1:5" ht="15.6" x14ac:dyDescent="0.3">
      <c r="A80" s="21" t="s">
        <v>143</v>
      </c>
      <c r="B80" s="21" t="s">
        <v>142</v>
      </c>
      <c r="C80" s="21" t="s">
        <v>83</v>
      </c>
      <c r="D80" s="21">
        <v>1200</v>
      </c>
      <c r="E80" s="21"/>
    </row>
    <row r="81" spans="1:5" ht="15.6" x14ac:dyDescent="0.3">
      <c r="A81" s="21" t="s">
        <v>144</v>
      </c>
      <c r="B81" s="21" t="s">
        <v>145</v>
      </c>
      <c r="C81" s="21" t="s">
        <v>104</v>
      </c>
      <c r="D81" s="21">
        <v>2500</v>
      </c>
      <c r="E81" s="21"/>
    </row>
    <row r="82" spans="1:5" ht="15.6" x14ac:dyDescent="0.3">
      <c r="A82" s="21" t="s">
        <v>146</v>
      </c>
      <c r="B82" s="21" t="s">
        <v>145</v>
      </c>
      <c r="C82" s="21" t="s">
        <v>83</v>
      </c>
      <c r="D82" s="21">
        <v>1500</v>
      </c>
      <c r="E82" s="21"/>
    </row>
    <row r="83" spans="1:5" ht="15.6" x14ac:dyDescent="0.3">
      <c r="A83" s="21" t="s">
        <v>147</v>
      </c>
      <c r="B83" s="21" t="s">
        <v>148</v>
      </c>
      <c r="C83" s="21" t="s">
        <v>104</v>
      </c>
      <c r="D83" s="21">
        <v>5000</v>
      </c>
      <c r="E83" s="21"/>
    </row>
    <row r="84" spans="1:5" ht="15.6" x14ac:dyDescent="0.3">
      <c r="A84" s="21" t="s">
        <v>149</v>
      </c>
      <c r="B84" s="21" t="s">
        <v>148</v>
      </c>
      <c r="C84" s="21" t="s">
        <v>83</v>
      </c>
      <c r="D84" s="21">
        <v>3000</v>
      </c>
      <c r="E84" s="21"/>
    </row>
    <row r="85" spans="1:5" ht="15.6" x14ac:dyDescent="0.3">
      <c r="A85" s="21" t="s">
        <v>150</v>
      </c>
      <c r="B85" s="21" t="s">
        <v>151</v>
      </c>
      <c r="C85" s="21" t="s">
        <v>104</v>
      </c>
      <c r="D85" s="21">
        <v>4500</v>
      </c>
      <c r="E85" s="21"/>
    </row>
    <row r="86" spans="1:5" ht="15.6" x14ac:dyDescent="0.3">
      <c r="A86" s="21" t="s">
        <v>152</v>
      </c>
      <c r="B86" s="21" t="s">
        <v>151</v>
      </c>
      <c r="C86" s="21" t="s">
        <v>83</v>
      </c>
      <c r="D86" s="21">
        <v>2500</v>
      </c>
      <c r="E86" s="21"/>
    </row>
    <row r="87" spans="1:5" ht="15.6" x14ac:dyDescent="0.3">
      <c r="A87" s="21" t="s">
        <v>153</v>
      </c>
      <c r="B87" s="21" t="s">
        <v>154</v>
      </c>
      <c r="C87" s="21" t="s">
        <v>104</v>
      </c>
      <c r="D87" s="21">
        <v>10500</v>
      </c>
      <c r="E87" s="21"/>
    </row>
    <row r="88" spans="1:5" ht="15.6" x14ac:dyDescent="0.3">
      <c r="A88" s="21" t="s">
        <v>155</v>
      </c>
      <c r="B88" s="21" t="s">
        <v>154</v>
      </c>
      <c r="C88" s="21" t="s">
        <v>83</v>
      </c>
      <c r="D88" s="21">
        <v>5500</v>
      </c>
      <c r="E88" s="21"/>
    </row>
    <row r="89" spans="1:5" ht="15.6" x14ac:dyDescent="0.3">
      <c r="A89" s="21" t="s">
        <v>156</v>
      </c>
      <c r="B89" s="21" t="s">
        <v>157</v>
      </c>
      <c r="C89" s="21" t="s">
        <v>93</v>
      </c>
      <c r="D89" s="21">
        <v>3500</v>
      </c>
      <c r="E89" s="21"/>
    </row>
    <row r="90" spans="1:5" ht="15.6" x14ac:dyDescent="0.3">
      <c r="A90" s="21" t="s">
        <v>158</v>
      </c>
      <c r="B90" s="21" t="s">
        <v>159</v>
      </c>
      <c r="C90" s="21" t="s">
        <v>160</v>
      </c>
      <c r="D90" s="21">
        <v>6000</v>
      </c>
      <c r="E90" s="21"/>
    </row>
    <row r="91" spans="1:5" ht="15.6" x14ac:dyDescent="0.3">
      <c r="A91" s="26"/>
      <c r="B91" s="21"/>
      <c r="C91" s="21"/>
      <c r="D91" s="21"/>
      <c r="E91" s="21"/>
    </row>
    <row r="92" spans="1:5" ht="15.6" x14ac:dyDescent="0.3">
      <c r="A92" s="21">
        <v>2</v>
      </c>
      <c r="B92" s="21" t="s">
        <v>161</v>
      </c>
      <c r="C92" s="21"/>
      <c r="D92" s="21"/>
      <c r="E92" s="21"/>
    </row>
    <row r="93" spans="1:5" ht="15.6" x14ac:dyDescent="0.3">
      <c r="A93" s="21" t="s">
        <v>29</v>
      </c>
      <c r="B93" s="21" t="s">
        <v>162</v>
      </c>
      <c r="C93" s="21"/>
      <c r="D93" s="21"/>
      <c r="E93" s="21"/>
    </row>
    <row r="94" spans="1:5" ht="15.6" x14ac:dyDescent="0.3">
      <c r="A94" s="21" t="s">
        <v>3</v>
      </c>
      <c r="B94" s="21" t="s">
        <v>31</v>
      </c>
      <c r="C94" s="21" t="s">
        <v>32</v>
      </c>
      <c r="D94" s="21" t="s">
        <v>5</v>
      </c>
      <c r="E94" s="21"/>
    </row>
    <row r="95" spans="1:5" ht="15.6" x14ac:dyDescent="0.3">
      <c r="A95" s="21" t="s">
        <v>163</v>
      </c>
      <c r="B95" s="21" t="s">
        <v>164</v>
      </c>
      <c r="C95" s="21" t="s">
        <v>32</v>
      </c>
      <c r="D95" s="21">
        <v>33000</v>
      </c>
      <c r="E95" s="21"/>
    </row>
    <row r="96" spans="1:5" ht="15.6" x14ac:dyDescent="0.3">
      <c r="A96" s="21" t="s">
        <v>165</v>
      </c>
      <c r="B96" s="21" t="s">
        <v>166</v>
      </c>
      <c r="C96" s="21" t="s">
        <v>32</v>
      </c>
      <c r="D96" s="21">
        <v>10000</v>
      </c>
      <c r="E96" s="21"/>
    </row>
    <row r="97" spans="1:5" ht="15.6" x14ac:dyDescent="0.3">
      <c r="A97" s="21" t="s">
        <v>167</v>
      </c>
      <c r="B97" s="21" t="s">
        <v>168</v>
      </c>
      <c r="C97" s="21" t="s">
        <v>32</v>
      </c>
      <c r="D97" s="21">
        <v>7500</v>
      </c>
      <c r="E97" s="21"/>
    </row>
    <row r="98" spans="1:5" ht="15.6" x14ac:dyDescent="0.3">
      <c r="A98" s="21" t="s">
        <v>169</v>
      </c>
      <c r="B98" s="21" t="s">
        <v>170</v>
      </c>
      <c r="C98" s="21" t="s">
        <v>32</v>
      </c>
      <c r="D98" s="21">
        <v>12000</v>
      </c>
      <c r="E98" s="21"/>
    </row>
    <row r="99" spans="1:5" ht="15.6" x14ac:dyDescent="0.3">
      <c r="A99" s="21" t="s">
        <v>171</v>
      </c>
      <c r="B99" s="21" t="s">
        <v>172</v>
      </c>
      <c r="C99" s="21" t="s">
        <v>32</v>
      </c>
      <c r="D99" s="21">
        <v>9500</v>
      </c>
      <c r="E99" s="21"/>
    </row>
    <row r="100" spans="1:5" ht="15.6" x14ac:dyDescent="0.3">
      <c r="A100" s="21" t="s">
        <v>173</v>
      </c>
      <c r="B100" s="21" t="s">
        <v>174</v>
      </c>
      <c r="C100" s="21" t="s">
        <v>175</v>
      </c>
      <c r="D100" s="21">
        <v>14500</v>
      </c>
      <c r="E100" s="21"/>
    </row>
    <row r="101" spans="1:5" ht="15.6" x14ac:dyDescent="0.3">
      <c r="A101" s="21" t="s">
        <v>176</v>
      </c>
      <c r="B101" s="21" t="s">
        <v>177</v>
      </c>
      <c r="C101" s="21" t="s">
        <v>32</v>
      </c>
      <c r="D101" s="21">
        <v>10500</v>
      </c>
      <c r="E101" s="21"/>
    </row>
    <row r="102" spans="1:5" ht="15.6" x14ac:dyDescent="0.3">
      <c r="A102" s="21" t="s">
        <v>178</v>
      </c>
      <c r="B102" s="21" t="s">
        <v>179</v>
      </c>
      <c r="C102" s="21" t="s">
        <v>32</v>
      </c>
      <c r="D102" s="21">
        <v>20000</v>
      </c>
      <c r="E102" s="21"/>
    </row>
    <row r="103" spans="1:5" ht="15.6" x14ac:dyDescent="0.3">
      <c r="A103" s="21" t="s">
        <v>180</v>
      </c>
      <c r="B103" s="21" t="s">
        <v>181</v>
      </c>
      <c r="C103" s="21" t="s">
        <v>175</v>
      </c>
      <c r="D103" s="21">
        <v>25000</v>
      </c>
      <c r="E103" s="21"/>
    </row>
    <row r="104" spans="1:5" ht="15.6" x14ac:dyDescent="0.3">
      <c r="A104" s="21" t="s">
        <v>182</v>
      </c>
      <c r="B104" s="21" t="s">
        <v>183</v>
      </c>
      <c r="C104" s="21" t="s">
        <v>32</v>
      </c>
      <c r="D104" s="21">
        <v>20000</v>
      </c>
      <c r="E104" s="21"/>
    </row>
    <row r="105" spans="1:5" ht="15.6" x14ac:dyDescent="0.3">
      <c r="A105" s="21" t="s">
        <v>184</v>
      </c>
      <c r="B105" s="21" t="s">
        <v>185</v>
      </c>
      <c r="C105" s="21" t="s">
        <v>32</v>
      </c>
      <c r="D105" s="21">
        <v>28000</v>
      </c>
      <c r="E105" s="21"/>
    </row>
    <row r="106" spans="1:5" ht="15.6" x14ac:dyDescent="0.3">
      <c r="A106" s="21" t="s">
        <v>186</v>
      </c>
      <c r="B106" s="21" t="s">
        <v>187</v>
      </c>
      <c r="C106" s="21" t="s">
        <v>32</v>
      </c>
      <c r="D106" s="21">
        <v>28000</v>
      </c>
      <c r="E106" s="21"/>
    </row>
    <row r="107" spans="1:5" ht="15.6" x14ac:dyDescent="0.3">
      <c r="A107" s="21" t="s">
        <v>188</v>
      </c>
      <c r="B107" s="21" t="s">
        <v>189</v>
      </c>
      <c r="C107" s="21" t="s">
        <v>32</v>
      </c>
      <c r="D107" s="21">
        <v>50000</v>
      </c>
      <c r="E107" s="21"/>
    </row>
    <row r="108" spans="1:5" ht="124.8" x14ac:dyDescent="0.3">
      <c r="A108" s="21" t="s">
        <v>190</v>
      </c>
      <c r="B108" s="27" t="s">
        <v>191</v>
      </c>
      <c r="C108" s="21" t="s">
        <v>32</v>
      </c>
      <c r="D108" s="21">
        <v>33000</v>
      </c>
      <c r="E108" s="21"/>
    </row>
    <row r="109" spans="1:5" ht="15.6" x14ac:dyDescent="0.3">
      <c r="A109" s="21" t="s">
        <v>192</v>
      </c>
      <c r="B109" s="21" t="s">
        <v>193</v>
      </c>
      <c r="C109" s="21" t="s">
        <v>32</v>
      </c>
      <c r="D109" s="21">
        <v>80000</v>
      </c>
      <c r="E109" s="21"/>
    </row>
    <row r="110" spans="1:5" ht="15.6" x14ac:dyDescent="0.3">
      <c r="A110" s="21" t="s">
        <v>194</v>
      </c>
      <c r="B110" s="21" t="s">
        <v>195</v>
      </c>
      <c r="C110" s="21" t="s">
        <v>32</v>
      </c>
      <c r="D110" s="21">
        <v>32500</v>
      </c>
      <c r="E110" s="21"/>
    </row>
    <row r="111" spans="1:5" ht="15.6" x14ac:dyDescent="0.3">
      <c r="A111" s="21" t="s">
        <v>196</v>
      </c>
      <c r="B111" s="21" t="s">
        <v>197</v>
      </c>
      <c r="C111" s="21" t="s">
        <v>32</v>
      </c>
      <c r="D111" s="21">
        <v>32500</v>
      </c>
      <c r="E111" s="21"/>
    </row>
    <row r="112" spans="1:5" ht="15.6" x14ac:dyDescent="0.3">
      <c r="A112" s="21" t="s">
        <v>198</v>
      </c>
      <c r="B112" s="21" t="s">
        <v>199</v>
      </c>
      <c r="C112" s="21" t="s">
        <v>32</v>
      </c>
      <c r="D112" s="21">
        <v>13500</v>
      </c>
      <c r="E112" s="21"/>
    </row>
    <row r="113" spans="1:5" ht="15.6" x14ac:dyDescent="0.3">
      <c r="A113" s="21" t="s">
        <v>198</v>
      </c>
      <c r="B113" s="21" t="s">
        <v>200</v>
      </c>
      <c r="C113" s="21" t="s">
        <v>32</v>
      </c>
      <c r="D113" s="21">
        <v>11000</v>
      </c>
      <c r="E113" s="21"/>
    </row>
    <row r="114" spans="1:5" ht="15.6" x14ac:dyDescent="0.3">
      <c r="A114" s="21" t="s">
        <v>201</v>
      </c>
      <c r="B114" s="21" t="s">
        <v>202</v>
      </c>
      <c r="C114" s="21" t="s">
        <v>32</v>
      </c>
      <c r="D114" s="21">
        <v>11000</v>
      </c>
      <c r="E114" s="21"/>
    </row>
    <row r="115" spans="1:5" ht="15.6" x14ac:dyDescent="0.3">
      <c r="A115" s="21" t="s">
        <v>203</v>
      </c>
      <c r="B115" s="21" t="s">
        <v>204</v>
      </c>
      <c r="C115" s="21" t="s">
        <v>32</v>
      </c>
      <c r="D115" s="21">
        <v>39000</v>
      </c>
      <c r="E115" s="21"/>
    </row>
    <row r="116" spans="1:5" ht="15.6" x14ac:dyDescent="0.3">
      <c r="A116" s="21" t="s">
        <v>205</v>
      </c>
      <c r="B116" s="21" t="s">
        <v>206</v>
      </c>
      <c r="C116" s="21" t="s">
        <v>32</v>
      </c>
      <c r="D116" s="21">
        <v>14500</v>
      </c>
      <c r="E116" s="21"/>
    </row>
    <row r="117" spans="1:5" ht="15.6" x14ac:dyDescent="0.3">
      <c r="A117" s="21" t="s">
        <v>207</v>
      </c>
      <c r="B117" s="21" t="s">
        <v>208</v>
      </c>
      <c r="C117" s="21" t="s">
        <v>32</v>
      </c>
      <c r="D117" s="21">
        <v>22500</v>
      </c>
      <c r="E117" s="21"/>
    </row>
    <row r="118" spans="1:5" ht="15.6" x14ac:dyDescent="0.3">
      <c r="A118" s="21" t="s">
        <v>209</v>
      </c>
      <c r="B118" s="21" t="s">
        <v>210</v>
      </c>
      <c r="C118" s="21" t="s">
        <v>32</v>
      </c>
      <c r="D118" s="21">
        <v>13000</v>
      </c>
      <c r="E118" s="21"/>
    </row>
    <row r="119" spans="1:5" ht="15.6" x14ac:dyDescent="0.3">
      <c r="A119" s="21" t="s">
        <v>211</v>
      </c>
      <c r="B119" s="21" t="s">
        <v>212</v>
      </c>
      <c r="C119" s="21" t="s">
        <v>32</v>
      </c>
      <c r="D119" s="21">
        <v>17500</v>
      </c>
      <c r="E119" s="21"/>
    </row>
    <row r="120" spans="1:5" ht="15.6" x14ac:dyDescent="0.3">
      <c r="A120" s="21" t="s">
        <v>213</v>
      </c>
      <c r="B120" s="21" t="s">
        <v>214</v>
      </c>
      <c r="C120" s="21" t="s">
        <v>32</v>
      </c>
      <c r="D120" s="21">
        <v>13000</v>
      </c>
      <c r="E120" s="21"/>
    </row>
    <row r="121" spans="1:5" ht="15.6" x14ac:dyDescent="0.3">
      <c r="A121" s="21" t="s">
        <v>215</v>
      </c>
      <c r="B121" s="21" t="s">
        <v>216</v>
      </c>
      <c r="C121" s="21" t="s">
        <v>32</v>
      </c>
      <c r="D121" s="21">
        <v>13000</v>
      </c>
      <c r="E121" s="21"/>
    </row>
    <row r="122" spans="1:5" ht="15.6" x14ac:dyDescent="0.3">
      <c r="A122" s="21" t="s">
        <v>217</v>
      </c>
      <c r="B122" s="21" t="s">
        <v>218</v>
      </c>
      <c r="C122" s="21" t="s">
        <v>32</v>
      </c>
      <c r="D122" s="21">
        <v>13000</v>
      </c>
      <c r="E122" s="21"/>
    </row>
    <row r="123" spans="1:5" ht="15.6" x14ac:dyDescent="0.3">
      <c r="A123" s="28" t="s">
        <v>219</v>
      </c>
      <c r="B123" s="28" t="s">
        <v>220</v>
      </c>
      <c r="C123" s="28" t="s">
        <v>32</v>
      </c>
      <c r="D123" s="29">
        <v>100000</v>
      </c>
      <c r="E123" s="21"/>
    </row>
    <row r="124" spans="1:5" ht="15.6" x14ac:dyDescent="0.3">
      <c r="A124" s="28" t="s">
        <v>221</v>
      </c>
      <c r="B124" s="28" t="s">
        <v>222</v>
      </c>
      <c r="C124" s="28" t="s">
        <v>32</v>
      </c>
      <c r="D124" s="29">
        <v>17000</v>
      </c>
      <c r="E124" s="21"/>
    </row>
    <row r="125" spans="1:5" ht="15.6" x14ac:dyDescent="0.3">
      <c r="A125" s="28" t="s">
        <v>223</v>
      </c>
      <c r="B125" s="28" t="s">
        <v>224</v>
      </c>
      <c r="C125" s="28" t="s">
        <v>32</v>
      </c>
      <c r="D125" s="29">
        <v>5000</v>
      </c>
      <c r="E125" s="21"/>
    </row>
    <row r="126" spans="1:5" ht="15.6" x14ac:dyDescent="0.3">
      <c r="A126" s="28" t="s">
        <v>225</v>
      </c>
      <c r="B126" s="28" t="s">
        <v>226</v>
      </c>
      <c r="C126" s="28" t="s">
        <v>32</v>
      </c>
      <c r="D126" s="29">
        <v>5000</v>
      </c>
      <c r="E126" s="21"/>
    </row>
    <row r="127" spans="1:5" ht="15.6" x14ac:dyDescent="0.3">
      <c r="A127" s="28"/>
      <c r="B127" s="28"/>
      <c r="C127" s="28"/>
      <c r="D127" s="29"/>
      <c r="E127" s="21"/>
    </row>
    <row r="128" spans="1:5" ht="15.6" x14ac:dyDescent="0.3">
      <c r="A128" s="21">
        <v>2</v>
      </c>
      <c r="B128" s="21" t="s">
        <v>161</v>
      </c>
      <c r="C128" s="21"/>
      <c r="D128" s="21"/>
      <c r="E128" s="21"/>
    </row>
    <row r="129" spans="1:5" ht="15.6" x14ac:dyDescent="0.3">
      <c r="A129" s="28" t="s">
        <v>227</v>
      </c>
      <c r="B129" s="28" t="s">
        <v>228</v>
      </c>
      <c r="C129" s="28" t="s">
        <v>32</v>
      </c>
      <c r="D129" s="29">
        <v>13000</v>
      </c>
      <c r="E129" s="21"/>
    </row>
    <row r="130" spans="1:5" ht="15.6" x14ac:dyDescent="0.3">
      <c r="A130" s="28" t="s">
        <v>229</v>
      </c>
      <c r="B130" s="28" t="s">
        <v>230</v>
      </c>
      <c r="C130" s="28" t="s">
        <v>32</v>
      </c>
      <c r="D130" s="29">
        <v>11000</v>
      </c>
      <c r="E130" s="21"/>
    </row>
    <row r="131" spans="1:5" ht="15.6" x14ac:dyDescent="0.3">
      <c r="A131" s="28" t="s">
        <v>231</v>
      </c>
      <c r="B131" s="28" t="s">
        <v>232</v>
      </c>
      <c r="C131" s="28" t="s">
        <v>32</v>
      </c>
      <c r="D131" s="29">
        <v>13000</v>
      </c>
      <c r="E131" s="21"/>
    </row>
    <row r="132" spans="1:5" ht="15.6" x14ac:dyDescent="0.3">
      <c r="A132" s="28" t="s">
        <v>233</v>
      </c>
      <c r="B132" s="28" t="s">
        <v>234</v>
      </c>
      <c r="C132" s="28" t="s">
        <v>32</v>
      </c>
      <c r="D132" s="29">
        <v>11000</v>
      </c>
      <c r="E132" s="21"/>
    </row>
    <row r="133" spans="1:5" ht="15.6" x14ac:dyDescent="0.3">
      <c r="A133" s="28" t="s">
        <v>235</v>
      </c>
      <c r="B133" s="28" t="s">
        <v>236</v>
      </c>
      <c r="C133" s="28" t="s">
        <v>32</v>
      </c>
      <c r="D133" s="29">
        <v>10000</v>
      </c>
      <c r="E133" s="21"/>
    </row>
    <row r="134" spans="1:5" ht="15.6" x14ac:dyDescent="0.3">
      <c r="A134" s="28" t="s">
        <v>237</v>
      </c>
      <c r="B134" s="28" t="s">
        <v>238</v>
      </c>
      <c r="C134" s="28" t="s">
        <v>32</v>
      </c>
      <c r="D134" s="29">
        <v>11000</v>
      </c>
      <c r="E134" s="21"/>
    </row>
    <row r="135" spans="1:5" ht="15.6" x14ac:dyDescent="0.3">
      <c r="A135" s="28" t="s">
        <v>239</v>
      </c>
      <c r="B135" s="28" t="s">
        <v>240</v>
      </c>
      <c r="C135" s="28" t="s">
        <v>32</v>
      </c>
      <c r="D135" s="29">
        <v>11000</v>
      </c>
      <c r="E135" s="21"/>
    </row>
    <row r="136" spans="1:5" ht="15.6" x14ac:dyDescent="0.3">
      <c r="A136" s="28" t="s">
        <v>241</v>
      </c>
      <c r="B136" s="28" t="s">
        <v>242</v>
      </c>
      <c r="C136" s="28" t="s">
        <v>32</v>
      </c>
      <c r="D136" s="29">
        <v>6000</v>
      </c>
      <c r="E136" s="21"/>
    </row>
    <row r="137" spans="1:5" ht="15.6" x14ac:dyDescent="0.3">
      <c r="A137" s="28" t="s">
        <v>243</v>
      </c>
      <c r="B137" s="28" t="s">
        <v>244</v>
      </c>
      <c r="C137" s="28" t="s">
        <v>32</v>
      </c>
      <c r="D137" s="29">
        <v>13000</v>
      </c>
      <c r="E137" s="21"/>
    </row>
    <row r="138" spans="1:5" ht="15.6" x14ac:dyDescent="0.3">
      <c r="A138" s="28" t="s">
        <v>245</v>
      </c>
      <c r="B138" s="28" t="s">
        <v>246</v>
      </c>
      <c r="C138" s="28" t="s">
        <v>32</v>
      </c>
      <c r="D138" s="29">
        <v>8000</v>
      </c>
      <c r="E138" s="21"/>
    </row>
    <row r="139" spans="1:5" ht="15.6" x14ac:dyDescent="0.3">
      <c r="A139" s="28" t="s">
        <v>247</v>
      </c>
      <c r="B139" s="28" t="s">
        <v>248</v>
      </c>
      <c r="C139" s="28" t="s">
        <v>32</v>
      </c>
      <c r="D139" s="29">
        <v>10000</v>
      </c>
      <c r="E139" s="21"/>
    </row>
    <row r="140" spans="1:5" ht="15.6" x14ac:dyDescent="0.3">
      <c r="A140" s="28" t="s">
        <v>249</v>
      </c>
      <c r="B140" s="28" t="s">
        <v>250</v>
      </c>
      <c r="C140" s="28" t="s">
        <v>32</v>
      </c>
      <c r="D140" s="29">
        <v>7000</v>
      </c>
      <c r="E140" s="21"/>
    </row>
    <row r="141" spans="1:5" ht="15.6" x14ac:dyDescent="0.3">
      <c r="A141" s="28" t="s">
        <v>251</v>
      </c>
      <c r="B141" s="28" t="s">
        <v>252</v>
      </c>
      <c r="C141" s="28" t="s">
        <v>32</v>
      </c>
      <c r="D141" s="29">
        <v>10000</v>
      </c>
      <c r="E141" s="21"/>
    </row>
    <row r="142" spans="1:5" ht="15.6" x14ac:dyDescent="0.3">
      <c r="A142" s="28" t="s">
        <v>253</v>
      </c>
      <c r="B142" s="28" t="s">
        <v>254</v>
      </c>
      <c r="C142" s="28" t="s">
        <v>32</v>
      </c>
      <c r="D142" s="29">
        <v>7000</v>
      </c>
      <c r="E142" s="21"/>
    </row>
    <row r="143" spans="1:5" ht="15.6" x14ac:dyDescent="0.3">
      <c r="A143" s="28" t="s">
        <v>255</v>
      </c>
      <c r="B143" s="28" t="s">
        <v>256</v>
      </c>
      <c r="C143" s="28" t="s">
        <v>32</v>
      </c>
      <c r="D143" s="29">
        <v>5000</v>
      </c>
      <c r="E143" s="21"/>
    </row>
    <row r="144" spans="1:5" ht="15.6" x14ac:dyDescent="0.3">
      <c r="A144" s="28" t="s">
        <v>257</v>
      </c>
      <c r="B144" s="28" t="s">
        <v>258</v>
      </c>
      <c r="C144" s="28" t="s">
        <v>32</v>
      </c>
      <c r="D144" s="29">
        <v>10000</v>
      </c>
      <c r="E144" s="21"/>
    </row>
    <row r="145" spans="1:5" ht="15.6" x14ac:dyDescent="0.3">
      <c r="A145" s="28" t="s">
        <v>259</v>
      </c>
      <c r="B145" s="28" t="s">
        <v>260</v>
      </c>
      <c r="C145" s="28" t="s">
        <v>32</v>
      </c>
      <c r="D145" s="29">
        <v>11000</v>
      </c>
      <c r="E145" s="21"/>
    </row>
    <row r="146" spans="1:5" ht="15.6" x14ac:dyDescent="0.3">
      <c r="A146" s="21" t="s">
        <v>261</v>
      </c>
      <c r="B146" s="21" t="s">
        <v>262</v>
      </c>
      <c r="C146" s="28" t="s">
        <v>32</v>
      </c>
      <c r="D146" s="21">
        <v>7500</v>
      </c>
      <c r="E146" s="21"/>
    </row>
    <row r="147" spans="1:5" ht="15.6" x14ac:dyDescent="0.3">
      <c r="A147" s="21" t="s">
        <v>263</v>
      </c>
      <c r="B147" s="21" t="s">
        <v>264</v>
      </c>
      <c r="C147" s="28" t="s">
        <v>32</v>
      </c>
      <c r="D147" s="21">
        <v>6000</v>
      </c>
      <c r="E147" s="21"/>
    </row>
    <row r="148" spans="1:5" ht="15.6" x14ac:dyDescent="0.3">
      <c r="A148" s="21" t="s">
        <v>265</v>
      </c>
      <c r="B148" s="21" t="s">
        <v>266</v>
      </c>
      <c r="C148" s="28" t="s">
        <v>32</v>
      </c>
      <c r="D148" s="21">
        <v>3500</v>
      </c>
      <c r="E148" s="21"/>
    </row>
    <row r="149" spans="1:5" ht="15.6" x14ac:dyDescent="0.3">
      <c r="A149" s="21" t="s">
        <v>267</v>
      </c>
      <c r="B149" s="21" t="s">
        <v>268</v>
      </c>
      <c r="C149" s="28" t="s">
        <v>32</v>
      </c>
      <c r="D149" s="21">
        <v>3500</v>
      </c>
      <c r="E149" s="21"/>
    </row>
    <row r="150" spans="1:5" ht="15.6" x14ac:dyDescent="0.3">
      <c r="A150" s="21" t="s">
        <v>269</v>
      </c>
      <c r="B150" s="21" t="s">
        <v>270</v>
      </c>
      <c r="C150" s="28" t="s">
        <v>32</v>
      </c>
      <c r="D150" s="21">
        <v>2500</v>
      </c>
      <c r="E150" s="21"/>
    </row>
    <row r="151" spans="1:5" ht="15.6" x14ac:dyDescent="0.3">
      <c r="A151" s="21" t="s">
        <v>271</v>
      </c>
      <c r="B151" s="21" t="s">
        <v>272</v>
      </c>
      <c r="C151" s="28" t="s">
        <v>32</v>
      </c>
      <c r="D151" s="21">
        <v>3500</v>
      </c>
      <c r="E151" s="21"/>
    </row>
    <row r="152" spans="1:5" ht="15.6" x14ac:dyDescent="0.3">
      <c r="A152" s="21" t="s">
        <v>273</v>
      </c>
      <c r="B152" s="21" t="s">
        <v>274</v>
      </c>
      <c r="C152" s="28" t="s">
        <v>32</v>
      </c>
      <c r="D152" s="21">
        <v>5000</v>
      </c>
      <c r="E152" s="21"/>
    </row>
    <row r="153" spans="1:5" ht="15.6" x14ac:dyDescent="0.3">
      <c r="A153" s="21" t="s">
        <v>275</v>
      </c>
      <c r="B153" s="21" t="s">
        <v>276</v>
      </c>
      <c r="C153" s="28" t="s">
        <v>32</v>
      </c>
      <c r="D153" s="21">
        <v>3500</v>
      </c>
      <c r="E153" s="21"/>
    </row>
    <row r="154" spans="1:5" ht="15.6" x14ac:dyDescent="0.3">
      <c r="A154" s="21" t="s">
        <v>277</v>
      </c>
      <c r="B154" s="21" t="s">
        <v>278</v>
      </c>
      <c r="C154" s="28" t="s">
        <v>32</v>
      </c>
      <c r="D154" s="21">
        <v>7500</v>
      </c>
      <c r="E154" s="21"/>
    </row>
    <row r="155" spans="1:5" ht="15.6" x14ac:dyDescent="0.3">
      <c r="A155" s="21" t="s">
        <v>279</v>
      </c>
      <c r="B155" s="21" t="s">
        <v>280</v>
      </c>
      <c r="C155" s="28" t="s">
        <v>32</v>
      </c>
      <c r="D155" s="21">
        <v>5500</v>
      </c>
      <c r="E155" s="21"/>
    </row>
    <row r="156" spans="1:5" ht="15.6" x14ac:dyDescent="0.3">
      <c r="A156" s="21" t="s">
        <v>281</v>
      </c>
      <c r="B156" s="21" t="s">
        <v>282</v>
      </c>
      <c r="C156" s="28" t="s">
        <v>175</v>
      </c>
      <c r="D156" s="29">
        <v>7000</v>
      </c>
      <c r="E156" s="21"/>
    </row>
    <row r="157" spans="1:5" ht="15.6" x14ac:dyDescent="0.3">
      <c r="A157" s="28" t="s">
        <v>283</v>
      </c>
      <c r="B157" s="28" t="s">
        <v>284</v>
      </c>
      <c r="C157" s="28" t="s">
        <v>32</v>
      </c>
      <c r="D157" s="29">
        <v>10000</v>
      </c>
      <c r="E157" s="21"/>
    </row>
    <row r="158" spans="1:5" ht="15.6" x14ac:dyDescent="0.3">
      <c r="A158" s="28" t="s">
        <v>285</v>
      </c>
      <c r="B158" s="28" t="s">
        <v>286</v>
      </c>
      <c r="C158" s="28" t="s">
        <v>32</v>
      </c>
      <c r="D158" s="29">
        <v>20000</v>
      </c>
      <c r="E158" s="21"/>
    </row>
    <row r="159" spans="1:5" ht="15.6" x14ac:dyDescent="0.3">
      <c r="A159" s="28" t="s">
        <v>287</v>
      </c>
      <c r="B159" s="28" t="s">
        <v>288</v>
      </c>
      <c r="C159" s="28" t="s">
        <v>32</v>
      </c>
      <c r="D159" s="29">
        <v>28000</v>
      </c>
      <c r="E159" s="21"/>
    </row>
    <row r="160" spans="1:5" ht="15.6" x14ac:dyDescent="0.3">
      <c r="A160" s="26"/>
      <c r="B160" s="21"/>
      <c r="C160" s="21"/>
      <c r="D160" s="21"/>
      <c r="E160" s="21"/>
    </row>
    <row r="161" spans="1:5" ht="15.6" x14ac:dyDescent="0.3">
      <c r="A161" s="26"/>
      <c r="B161" s="21"/>
      <c r="C161" s="21"/>
      <c r="D161" s="21"/>
      <c r="E161" s="21"/>
    </row>
    <row r="162" spans="1:5" ht="15.6" x14ac:dyDescent="0.3">
      <c r="A162" s="26"/>
      <c r="B162" s="21"/>
      <c r="C162" s="21"/>
      <c r="D162" s="21"/>
      <c r="E162" s="21"/>
    </row>
    <row r="163" spans="1:5" ht="15.6" x14ac:dyDescent="0.3">
      <c r="A163" s="26"/>
      <c r="B163" s="21"/>
      <c r="C163" s="21"/>
      <c r="D163" s="21"/>
      <c r="E163" s="21"/>
    </row>
    <row r="164" spans="1:5" ht="15.6" x14ac:dyDescent="0.3">
      <c r="A164" s="21">
        <v>3</v>
      </c>
      <c r="B164" s="30" t="s">
        <v>289</v>
      </c>
      <c r="C164" s="30"/>
      <c r="D164" s="30"/>
      <c r="E164" s="21"/>
    </row>
    <row r="165" spans="1:5" ht="15.6" x14ac:dyDescent="0.3">
      <c r="A165" s="21" t="s">
        <v>29</v>
      </c>
      <c r="B165" s="21" t="s">
        <v>290</v>
      </c>
      <c r="C165" s="21"/>
      <c r="D165" s="21"/>
      <c r="E165" s="21"/>
    </row>
    <row r="166" spans="1:5" ht="15.6" x14ac:dyDescent="0.3">
      <c r="A166" s="21" t="s">
        <v>3</v>
      </c>
      <c r="B166" s="21" t="s">
        <v>31</v>
      </c>
      <c r="C166" s="21" t="s">
        <v>32</v>
      </c>
      <c r="D166" s="21" t="s">
        <v>5</v>
      </c>
      <c r="E166" s="21"/>
    </row>
    <row r="167" spans="1:5" ht="15.6" x14ac:dyDescent="0.3">
      <c r="A167" s="21" t="s">
        <v>291</v>
      </c>
      <c r="B167" s="21" t="s">
        <v>292</v>
      </c>
      <c r="C167" s="21" t="s">
        <v>293</v>
      </c>
      <c r="D167" s="21">
        <v>13000</v>
      </c>
      <c r="E167" s="21"/>
    </row>
    <row r="168" spans="1:5" ht="15.6" x14ac:dyDescent="0.3">
      <c r="A168" s="21" t="s">
        <v>294</v>
      </c>
      <c r="B168" s="21" t="s">
        <v>295</v>
      </c>
      <c r="C168" s="21" t="s">
        <v>296</v>
      </c>
      <c r="D168" s="21">
        <v>9500</v>
      </c>
      <c r="E168" s="21"/>
    </row>
    <row r="169" spans="1:5" ht="15.6" x14ac:dyDescent="0.3">
      <c r="A169" s="21" t="s">
        <v>297</v>
      </c>
      <c r="B169" s="21" t="s">
        <v>298</v>
      </c>
      <c r="C169" s="21" t="s">
        <v>299</v>
      </c>
      <c r="D169" s="21">
        <v>12500</v>
      </c>
      <c r="E169" s="21"/>
    </row>
    <row r="170" spans="1:5" ht="15.6" x14ac:dyDescent="0.3">
      <c r="A170" s="21" t="s">
        <v>300</v>
      </c>
      <c r="B170" s="21" t="s">
        <v>301</v>
      </c>
      <c r="C170" s="21" t="s">
        <v>302</v>
      </c>
      <c r="D170" s="21">
        <v>4500</v>
      </c>
      <c r="E170" s="21"/>
    </row>
    <row r="171" spans="1:5" ht="15.6" x14ac:dyDescent="0.3">
      <c r="A171" s="21" t="s">
        <v>303</v>
      </c>
      <c r="B171" s="21" t="s">
        <v>304</v>
      </c>
      <c r="C171" s="21" t="s">
        <v>302</v>
      </c>
      <c r="D171" s="21">
        <v>18500</v>
      </c>
      <c r="E171" s="21"/>
    </row>
    <row r="172" spans="1:5" ht="15.6" x14ac:dyDescent="0.3">
      <c r="A172" s="21" t="s">
        <v>305</v>
      </c>
      <c r="B172" s="21" t="s">
        <v>306</v>
      </c>
      <c r="C172" s="21" t="s">
        <v>302</v>
      </c>
      <c r="D172" s="21">
        <v>20500</v>
      </c>
      <c r="E172" s="21"/>
    </row>
    <row r="173" spans="1:5" ht="15.6" x14ac:dyDescent="0.3">
      <c r="A173" s="21" t="s">
        <v>307</v>
      </c>
      <c r="B173" s="21" t="s">
        <v>308</v>
      </c>
      <c r="C173" s="21" t="s">
        <v>302</v>
      </c>
      <c r="D173" s="21">
        <v>19000</v>
      </c>
      <c r="E173" s="21"/>
    </row>
    <row r="174" spans="1:5" ht="15.6" x14ac:dyDescent="0.3">
      <c r="A174" s="21" t="s">
        <v>309</v>
      </c>
      <c r="B174" s="21" t="s">
        <v>310</v>
      </c>
      <c r="C174" s="21" t="s">
        <v>302</v>
      </c>
      <c r="D174" s="21">
        <v>18500</v>
      </c>
      <c r="E174" s="21"/>
    </row>
    <row r="175" spans="1:5" ht="15.6" x14ac:dyDescent="0.3">
      <c r="A175" s="21" t="s">
        <v>311</v>
      </c>
      <c r="B175" s="21" t="s">
        <v>312</v>
      </c>
      <c r="C175" s="21" t="s">
        <v>302</v>
      </c>
      <c r="D175" s="21">
        <v>16500</v>
      </c>
      <c r="E175" s="21"/>
    </row>
    <row r="176" spans="1:5" ht="15.6" x14ac:dyDescent="0.3">
      <c r="A176" s="21" t="s">
        <v>313</v>
      </c>
      <c r="B176" s="21" t="s">
        <v>314</v>
      </c>
      <c r="C176" s="21" t="s">
        <v>302</v>
      </c>
      <c r="D176" s="21">
        <v>16500</v>
      </c>
      <c r="E176" s="21"/>
    </row>
    <row r="177" spans="1:10" ht="15.6" x14ac:dyDescent="0.3">
      <c r="A177" s="21" t="s">
        <v>315</v>
      </c>
      <c r="B177" s="21" t="s">
        <v>316</v>
      </c>
      <c r="C177" s="21" t="s">
        <v>32</v>
      </c>
      <c r="D177" s="21">
        <v>3000</v>
      </c>
      <c r="E177" s="21"/>
    </row>
    <row r="178" spans="1:10" ht="15.6" x14ac:dyDescent="0.3">
      <c r="A178" s="21" t="s">
        <v>317</v>
      </c>
      <c r="B178" s="21" t="s">
        <v>317</v>
      </c>
      <c r="C178" s="21" t="s">
        <v>318</v>
      </c>
      <c r="D178" s="21">
        <v>3500</v>
      </c>
      <c r="E178" s="21"/>
    </row>
    <row r="179" spans="1:10" ht="15.6" x14ac:dyDescent="0.3">
      <c r="A179" s="21" t="s">
        <v>319</v>
      </c>
      <c r="B179" s="21" t="s">
        <v>320</v>
      </c>
      <c r="C179" s="21" t="s">
        <v>321</v>
      </c>
      <c r="D179" s="21">
        <v>3500</v>
      </c>
      <c r="E179" s="21"/>
    </row>
    <row r="180" spans="1:10" ht="15.6" x14ac:dyDescent="0.3">
      <c r="A180" s="21" t="s">
        <v>322</v>
      </c>
      <c r="B180" s="21" t="s">
        <v>323</v>
      </c>
      <c r="C180" s="21" t="s">
        <v>32</v>
      </c>
      <c r="D180" s="21">
        <v>7000</v>
      </c>
      <c r="E180" s="21"/>
    </row>
    <row r="181" spans="1:10" ht="15.6" x14ac:dyDescent="0.3">
      <c r="A181" s="21" t="s">
        <v>324</v>
      </c>
      <c r="B181" s="21" t="s">
        <v>325</v>
      </c>
      <c r="C181" s="24" t="s">
        <v>326</v>
      </c>
      <c r="D181" s="21">
        <v>11000</v>
      </c>
      <c r="E181" s="21"/>
      <c r="F181" s="21"/>
      <c r="G181" s="21"/>
      <c r="H181" s="24"/>
      <c r="I181" s="21"/>
      <c r="J181" s="21"/>
    </row>
    <row r="182" spans="1:10" ht="15.6" x14ac:dyDescent="0.3">
      <c r="A182" s="21" t="s">
        <v>327</v>
      </c>
      <c r="B182" s="21" t="s">
        <v>328</v>
      </c>
      <c r="C182" s="24" t="s">
        <v>329</v>
      </c>
      <c r="D182" s="21">
        <v>21000</v>
      </c>
      <c r="E182" s="21"/>
      <c r="F182" s="21"/>
      <c r="G182" s="21"/>
      <c r="H182" s="24"/>
      <c r="I182" s="21"/>
      <c r="J182" s="21"/>
    </row>
    <row r="183" spans="1:10" ht="15.6" x14ac:dyDescent="0.3">
      <c r="A183" s="21" t="s">
        <v>330</v>
      </c>
      <c r="B183" s="21" t="s">
        <v>325</v>
      </c>
      <c r="C183" s="24" t="s">
        <v>326</v>
      </c>
      <c r="D183" s="21">
        <v>10000</v>
      </c>
      <c r="E183" s="21"/>
      <c r="F183" s="21"/>
      <c r="G183" s="21"/>
      <c r="H183" s="24"/>
      <c r="I183" s="21"/>
      <c r="J183" s="21"/>
    </row>
    <row r="184" spans="1:10" ht="15.6" x14ac:dyDescent="0.3">
      <c r="A184" s="21" t="s">
        <v>331</v>
      </c>
      <c r="B184" s="21" t="s">
        <v>328</v>
      </c>
      <c r="C184" s="24" t="s">
        <v>329</v>
      </c>
      <c r="D184" s="21">
        <v>18000</v>
      </c>
      <c r="E184" s="21"/>
      <c r="F184" s="21"/>
      <c r="G184" s="21"/>
      <c r="H184" s="24"/>
      <c r="I184" s="21"/>
      <c r="J184" s="21"/>
    </row>
    <row r="185" spans="1:10" ht="15.6" x14ac:dyDescent="0.3">
      <c r="A185" s="21" t="s">
        <v>332</v>
      </c>
      <c r="B185" s="21" t="s">
        <v>333</v>
      </c>
      <c r="C185" s="21" t="s">
        <v>334</v>
      </c>
      <c r="D185" s="21">
        <v>19500</v>
      </c>
      <c r="E185" s="21"/>
    </row>
    <row r="186" spans="1:10" ht="15.6" x14ac:dyDescent="0.3">
      <c r="A186" s="21" t="s">
        <v>335</v>
      </c>
      <c r="B186" s="21" t="s">
        <v>336</v>
      </c>
      <c r="C186" s="21" t="s">
        <v>32</v>
      </c>
      <c r="D186" s="21">
        <v>6000</v>
      </c>
      <c r="E186" s="21"/>
    </row>
    <row r="187" spans="1:10" ht="15.6" x14ac:dyDescent="0.3">
      <c r="A187" s="21" t="s">
        <v>337</v>
      </c>
      <c r="B187" s="21" t="s">
        <v>338</v>
      </c>
      <c r="C187" s="21" t="s">
        <v>339</v>
      </c>
      <c r="D187" s="21">
        <v>11800</v>
      </c>
      <c r="E187" s="21"/>
    </row>
    <row r="188" spans="1:10" ht="15.6" x14ac:dyDescent="0.3">
      <c r="A188" s="21" t="s">
        <v>340</v>
      </c>
      <c r="B188" s="21" t="s">
        <v>341</v>
      </c>
      <c r="C188" s="24" t="s">
        <v>342</v>
      </c>
      <c r="D188" s="21">
        <v>5000</v>
      </c>
      <c r="E188" s="21"/>
    </row>
    <row r="189" spans="1:10" ht="15.6" x14ac:dyDescent="0.3">
      <c r="A189" s="21" t="s">
        <v>343</v>
      </c>
      <c r="B189" s="21" t="s">
        <v>344</v>
      </c>
      <c r="C189" s="24" t="s">
        <v>345</v>
      </c>
      <c r="D189" s="21">
        <v>3500</v>
      </c>
      <c r="E189" s="21"/>
    </row>
    <row r="190" spans="1:10" ht="15.6" x14ac:dyDescent="0.3">
      <c r="A190" s="21" t="s">
        <v>346</v>
      </c>
      <c r="B190" s="21" t="s">
        <v>344</v>
      </c>
      <c r="C190" s="24" t="s">
        <v>347</v>
      </c>
      <c r="D190" s="21">
        <v>4500</v>
      </c>
      <c r="E190" s="21"/>
    </row>
    <row r="191" spans="1:10" ht="15.6" x14ac:dyDescent="0.3">
      <c r="A191" s="21" t="s">
        <v>348</v>
      </c>
      <c r="B191" s="21" t="s">
        <v>349</v>
      </c>
      <c r="C191" s="21" t="s">
        <v>32</v>
      </c>
      <c r="D191" s="21">
        <v>7000</v>
      </c>
      <c r="E191" s="21"/>
    </row>
    <row r="192" spans="1:10" ht="15.6" x14ac:dyDescent="0.3">
      <c r="A192" s="21" t="s">
        <v>350</v>
      </c>
      <c r="B192" s="21" t="s">
        <v>351</v>
      </c>
      <c r="C192" s="21" t="s">
        <v>32</v>
      </c>
      <c r="D192" s="21">
        <v>7000</v>
      </c>
      <c r="E192" s="21"/>
    </row>
    <row r="193" spans="1:5" ht="15.6" x14ac:dyDescent="0.3">
      <c r="A193" s="21"/>
      <c r="B193" s="21"/>
      <c r="C193" s="21"/>
      <c r="D193" s="21"/>
      <c r="E193" s="21"/>
    </row>
    <row r="194" spans="1:5" ht="15.6" x14ac:dyDescent="0.3">
      <c r="A194" s="21"/>
      <c r="B194" s="21"/>
      <c r="C194" s="21"/>
      <c r="D194" s="21"/>
      <c r="E194" s="21"/>
    </row>
    <row r="195" spans="1:5" ht="15.6" x14ac:dyDescent="0.3">
      <c r="A195" s="21">
        <v>4</v>
      </c>
      <c r="B195" s="21" t="s">
        <v>352</v>
      </c>
      <c r="C195" s="21"/>
      <c r="D195" s="21"/>
      <c r="E195" s="21"/>
    </row>
    <row r="196" spans="1:5" ht="15.6" x14ac:dyDescent="0.3">
      <c r="A196" s="21" t="s">
        <v>29</v>
      </c>
      <c r="B196" s="21" t="s">
        <v>353</v>
      </c>
      <c r="C196" s="21"/>
      <c r="D196" s="21"/>
      <c r="E196" s="21"/>
    </row>
    <row r="197" spans="1:5" ht="15.6" x14ac:dyDescent="0.3">
      <c r="A197" s="21" t="s">
        <v>3</v>
      </c>
      <c r="B197" s="21" t="s">
        <v>31</v>
      </c>
      <c r="C197" s="21" t="s">
        <v>32</v>
      </c>
      <c r="D197" s="21" t="s">
        <v>5</v>
      </c>
      <c r="E197" s="21"/>
    </row>
    <row r="198" spans="1:5" ht="15.6" x14ac:dyDescent="0.3">
      <c r="A198" s="21" t="s">
        <v>354</v>
      </c>
      <c r="B198" s="21" t="s">
        <v>355</v>
      </c>
      <c r="C198" s="21" t="s">
        <v>356</v>
      </c>
      <c r="D198" s="21">
        <v>9700</v>
      </c>
      <c r="E198" s="21"/>
    </row>
    <row r="199" spans="1:5" ht="15.6" x14ac:dyDescent="0.3">
      <c r="A199" s="21" t="s">
        <v>23</v>
      </c>
      <c r="B199" s="21" t="s">
        <v>355</v>
      </c>
      <c r="C199" s="21" t="s">
        <v>357</v>
      </c>
      <c r="D199" s="21">
        <v>17000</v>
      </c>
      <c r="E199" s="21"/>
    </row>
    <row r="200" spans="1:5" ht="140.4" x14ac:dyDescent="0.3">
      <c r="A200" s="21" t="s">
        <v>358</v>
      </c>
      <c r="B200" s="27" t="s">
        <v>359</v>
      </c>
      <c r="C200" s="21" t="s">
        <v>356</v>
      </c>
      <c r="D200" s="21">
        <v>6000</v>
      </c>
      <c r="E200" s="21"/>
    </row>
    <row r="201" spans="1:5" ht="140.4" x14ac:dyDescent="0.3">
      <c r="A201" s="21" t="s">
        <v>360</v>
      </c>
      <c r="B201" s="27" t="s">
        <v>359</v>
      </c>
      <c r="C201" s="21" t="s">
        <v>357</v>
      </c>
      <c r="D201" s="21">
        <v>10500</v>
      </c>
      <c r="E201" s="21"/>
    </row>
    <row r="202" spans="1:5" ht="109.2" x14ac:dyDescent="0.3">
      <c r="A202" s="21" t="s">
        <v>361</v>
      </c>
      <c r="B202" s="27" t="s">
        <v>362</v>
      </c>
      <c r="C202" s="21" t="s">
        <v>356</v>
      </c>
      <c r="D202" s="21">
        <v>7900</v>
      </c>
      <c r="E202" s="21"/>
    </row>
    <row r="203" spans="1:5" ht="109.2" x14ac:dyDescent="0.3">
      <c r="A203" s="21" t="s">
        <v>363</v>
      </c>
      <c r="B203" s="27" t="s">
        <v>362</v>
      </c>
      <c r="C203" s="21" t="s">
        <v>357</v>
      </c>
      <c r="D203" s="21">
        <v>13500</v>
      </c>
      <c r="E203" s="21"/>
    </row>
    <row r="204" spans="1:5" ht="171.6" x14ac:dyDescent="0.3">
      <c r="A204" s="21" t="s">
        <v>364</v>
      </c>
      <c r="B204" s="27" t="s">
        <v>365</v>
      </c>
      <c r="C204" s="21" t="s">
        <v>356</v>
      </c>
      <c r="D204" s="21">
        <v>5800</v>
      </c>
      <c r="E204" s="21"/>
    </row>
    <row r="205" spans="1:5" ht="171.6" x14ac:dyDescent="0.3">
      <c r="A205" s="21" t="s">
        <v>366</v>
      </c>
      <c r="B205" s="27" t="s">
        <v>365</v>
      </c>
      <c r="C205" s="21" t="s">
        <v>357</v>
      </c>
      <c r="D205" s="21">
        <v>10100</v>
      </c>
      <c r="E205" s="21"/>
    </row>
    <row r="206" spans="1:5" ht="109.2" x14ac:dyDescent="0.3">
      <c r="A206" s="21" t="s">
        <v>367</v>
      </c>
      <c r="B206" s="27" t="s">
        <v>368</v>
      </c>
      <c r="C206" s="21" t="s">
        <v>356</v>
      </c>
      <c r="D206" s="21">
        <v>10500</v>
      </c>
      <c r="E206" s="21"/>
    </row>
    <row r="207" spans="1:5" ht="109.2" x14ac:dyDescent="0.3">
      <c r="A207" s="21" t="s">
        <v>369</v>
      </c>
      <c r="B207" s="27" t="s">
        <v>368</v>
      </c>
      <c r="C207" s="21" t="s">
        <v>357</v>
      </c>
      <c r="D207" s="21">
        <v>18200</v>
      </c>
      <c r="E207" s="21"/>
    </row>
    <row r="208" spans="1:5" ht="202.8" x14ac:dyDescent="0.3">
      <c r="A208" s="21" t="s">
        <v>370</v>
      </c>
      <c r="B208" s="27" t="s">
        <v>371</v>
      </c>
      <c r="C208" s="21" t="s">
        <v>356</v>
      </c>
      <c r="D208" s="21">
        <v>11000</v>
      </c>
      <c r="E208" s="21"/>
    </row>
    <row r="209" spans="1:5" ht="202.8" x14ac:dyDescent="0.3">
      <c r="A209" s="21" t="s">
        <v>372</v>
      </c>
      <c r="B209" s="27" t="s">
        <v>371</v>
      </c>
      <c r="C209" s="21" t="s">
        <v>357</v>
      </c>
      <c r="D209" s="21">
        <v>19500</v>
      </c>
      <c r="E209" s="21"/>
    </row>
    <row r="210" spans="1:5" ht="124.8" x14ac:dyDescent="0.3">
      <c r="A210" s="21" t="s">
        <v>373</v>
      </c>
      <c r="B210" s="27" t="s">
        <v>374</v>
      </c>
      <c r="C210" s="21" t="s">
        <v>356</v>
      </c>
      <c r="D210" s="21">
        <v>8500</v>
      </c>
      <c r="E210" s="21"/>
    </row>
    <row r="211" spans="1:5" ht="124.8" x14ac:dyDescent="0.3">
      <c r="A211" s="21" t="s">
        <v>375</v>
      </c>
      <c r="B211" s="27" t="s">
        <v>374</v>
      </c>
      <c r="C211" s="21" t="s">
        <v>357</v>
      </c>
      <c r="D211" s="21">
        <v>15000</v>
      </c>
      <c r="E211" s="21"/>
    </row>
    <row r="212" spans="1:5" ht="109.2" x14ac:dyDescent="0.3">
      <c r="A212" s="21" t="s">
        <v>376</v>
      </c>
      <c r="B212" s="27" t="s">
        <v>377</v>
      </c>
      <c r="C212" s="21" t="s">
        <v>356</v>
      </c>
      <c r="D212" s="21">
        <v>5600</v>
      </c>
      <c r="E212" s="21"/>
    </row>
    <row r="213" spans="1:5" ht="109.2" x14ac:dyDescent="0.3">
      <c r="A213" s="21" t="s">
        <v>378</v>
      </c>
      <c r="B213" s="27" t="s">
        <v>377</v>
      </c>
      <c r="C213" s="21" t="s">
        <v>357</v>
      </c>
      <c r="D213" s="21">
        <v>9700</v>
      </c>
      <c r="E213" s="21"/>
    </row>
    <row r="214" spans="1:5" ht="124.8" x14ac:dyDescent="0.3">
      <c r="A214" s="21" t="s">
        <v>379</v>
      </c>
      <c r="B214" s="27" t="s">
        <v>380</v>
      </c>
      <c r="C214" s="21" t="s">
        <v>356</v>
      </c>
      <c r="D214" s="21">
        <v>7200</v>
      </c>
      <c r="E214" s="21"/>
    </row>
    <row r="215" spans="1:5" ht="124.8" x14ac:dyDescent="0.3">
      <c r="A215" s="21" t="s">
        <v>381</v>
      </c>
      <c r="B215" s="27" t="s">
        <v>380</v>
      </c>
      <c r="C215" s="21" t="s">
        <v>357</v>
      </c>
      <c r="D215" s="21">
        <v>12300</v>
      </c>
      <c r="E215" s="21"/>
    </row>
    <row r="216" spans="1:5" ht="124.8" x14ac:dyDescent="0.3">
      <c r="A216" s="21" t="s">
        <v>382</v>
      </c>
      <c r="B216" s="27" t="s">
        <v>383</v>
      </c>
      <c r="C216" s="21" t="s">
        <v>356</v>
      </c>
      <c r="D216" s="21">
        <v>8300</v>
      </c>
      <c r="E216" s="21"/>
    </row>
    <row r="217" spans="1:5" ht="124.8" x14ac:dyDescent="0.3">
      <c r="A217" s="21" t="s">
        <v>384</v>
      </c>
      <c r="B217" s="27" t="s">
        <v>383</v>
      </c>
      <c r="C217" s="21" t="s">
        <v>357</v>
      </c>
      <c r="D217" s="21">
        <v>14200</v>
      </c>
      <c r="E217" s="21"/>
    </row>
    <row r="218" spans="1:5" ht="15.6" x14ac:dyDescent="0.3">
      <c r="A218" s="21" t="s">
        <v>385</v>
      </c>
      <c r="B218" s="21" t="s">
        <v>386</v>
      </c>
      <c r="C218" s="21" t="s">
        <v>356</v>
      </c>
      <c r="D218" s="21">
        <v>8600</v>
      </c>
      <c r="E218" s="21"/>
    </row>
    <row r="219" spans="1:5" ht="15.6" x14ac:dyDescent="0.3">
      <c r="A219" s="21" t="s">
        <v>387</v>
      </c>
      <c r="B219" s="21" t="s">
        <v>386</v>
      </c>
      <c r="C219" s="21" t="s">
        <v>357</v>
      </c>
      <c r="D219" s="21">
        <v>14900</v>
      </c>
      <c r="E219" s="21"/>
    </row>
    <row r="220" spans="1:5" ht="15.6" x14ac:dyDescent="0.3">
      <c r="A220" s="21">
        <v>4</v>
      </c>
      <c r="B220" s="31" t="s">
        <v>388</v>
      </c>
      <c r="C220" s="31"/>
      <c r="D220" s="31"/>
      <c r="E220" s="21"/>
    </row>
    <row r="221" spans="1:5" ht="15.6" x14ac:dyDescent="0.3">
      <c r="A221" s="21" t="s">
        <v>389</v>
      </c>
      <c r="B221" s="21" t="s">
        <v>390</v>
      </c>
      <c r="C221" s="21" t="s">
        <v>391</v>
      </c>
      <c r="D221" s="21">
        <v>6900</v>
      </c>
      <c r="E221" s="21"/>
    </row>
    <row r="222" spans="1:5" ht="15.6" x14ac:dyDescent="0.3">
      <c r="A222" s="21" t="s">
        <v>392</v>
      </c>
      <c r="B222" s="21" t="s">
        <v>390</v>
      </c>
      <c r="C222" s="21" t="s">
        <v>357</v>
      </c>
      <c r="D222" s="21">
        <v>9600</v>
      </c>
      <c r="E222" s="21"/>
    </row>
    <row r="223" spans="1:5" ht="15.6" x14ac:dyDescent="0.3">
      <c r="A223" s="21" t="s">
        <v>393</v>
      </c>
      <c r="B223" s="21" t="s">
        <v>394</v>
      </c>
      <c r="C223" s="21" t="s">
        <v>391</v>
      </c>
      <c r="D223" s="21">
        <v>9800</v>
      </c>
      <c r="E223" s="21"/>
    </row>
    <row r="224" spans="1:5" ht="312" x14ac:dyDescent="0.3">
      <c r="A224" s="21" t="s">
        <v>395</v>
      </c>
      <c r="B224" s="27" t="s">
        <v>396</v>
      </c>
      <c r="C224" s="21" t="s">
        <v>391</v>
      </c>
      <c r="D224" s="21">
        <v>6900</v>
      </c>
      <c r="E224" s="21"/>
    </row>
    <row r="225" spans="1:5" ht="312" x14ac:dyDescent="0.3">
      <c r="A225" s="21" t="s">
        <v>397</v>
      </c>
      <c r="B225" s="27" t="s">
        <v>396</v>
      </c>
      <c r="C225" s="21" t="s">
        <v>357</v>
      </c>
      <c r="D225" s="21">
        <v>9600</v>
      </c>
      <c r="E225" s="21"/>
    </row>
    <row r="226" spans="1:5" ht="312" x14ac:dyDescent="0.3">
      <c r="A226" s="21" t="s">
        <v>398</v>
      </c>
      <c r="B226" s="27" t="s">
        <v>399</v>
      </c>
      <c r="C226" s="21" t="s">
        <v>391</v>
      </c>
      <c r="D226" s="21">
        <v>6800</v>
      </c>
      <c r="E226" s="21"/>
    </row>
    <row r="227" spans="1:5" ht="312" x14ac:dyDescent="0.3">
      <c r="A227" s="21" t="s">
        <v>400</v>
      </c>
      <c r="B227" s="27" t="s">
        <v>399</v>
      </c>
      <c r="C227" s="21" t="s">
        <v>357</v>
      </c>
      <c r="D227" s="21">
        <v>9600</v>
      </c>
      <c r="E227" s="21"/>
    </row>
    <row r="228" spans="1:5" ht="249.6" x14ac:dyDescent="0.3">
      <c r="A228" s="21" t="s">
        <v>401</v>
      </c>
      <c r="B228" s="27" t="s">
        <v>402</v>
      </c>
      <c r="C228" s="21" t="s">
        <v>391</v>
      </c>
      <c r="D228" s="21">
        <v>6400</v>
      </c>
      <c r="E228" s="21"/>
    </row>
    <row r="229" spans="1:5" ht="249.6" x14ac:dyDescent="0.3">
      <c r="A229" s="21" t="s">
        <v>403</v>
      </c>
      <c r="B229" s="27" t="s">
        <v>402</v>
      </c>
      <c r="C229" s="21" t="s">
        <v>357</v>
      </c>
      <c r="D229" s="21">
        <v>8900</v>
      </c>
      <c r="E229" s="21"/>
    </row>
    <row r="230" spans="1:5" ht="343.2" x14ac:dyDescent="0.3">
      <c r="A230" s="21" t="s">
        <v>404</v>
      </c>
      <c r="B230" s="27" t="s">
        <v>405</v>
      </c>
      <c r="C230" s="21" t="s">
        <v>391</v>
      </c>
      <c r="D230" s="21">
        <v>6800</v>
      </c>
      <c r="E230" s="21"/>
    </row>
    <row r="231" spans="1:5" ht="343.2" x14ac:dyDescent="0.3">
      <c r="A231" s="21" t="s">
        <v>404</v>
      </c>
      <c r="B231" s="27" t="s">
        <v>405</v>
      </c>
      <c r="C231" s="21" t="s">
        <v>357</v>
      </c>
      <c r="D231" s="21">
        <v>9600</v>
      </c>
      <c r="E231" s="21"/>
    </row>
    <row r="232" spans="1:5" ht="15.6" x14ac:dyDescent="0.3">
      <c r="A232" s="21" t="s">
        <v>406</v>
      </c>
      <c r="B232" s="21" t="s">
        <v>407</v>
      </c>
      <c r="C232" s="21" t="s">
        <v>61</v>
      </c>
      <c r="D232" s="21">
        <v>6300</v>
      </c>
      <c r="E232" s="21"/>
    </row>
    <row r="233" spans="1:5" ht="15.6" x14ac:dyDescent="0.3">
      <c r="A233" s="21" t="s">
        <v>408</v>
      </c>
      <c r="B233" s="21" t="s">
        <v>409</v>
      </c>
      <c r="C233" s="21" t="s">
        <v>64</v>
      </c>
      <c r="D233" s="21">
        <v>7600</v>
      </c>
      <c r="E233" s="21"/>
    </row>
    <row r="234" spans="1:5" ht="15.6" x14ac:dyDescent="0.3">
      <c r="A234" s="21" t="s">
        <v>410</v>
      </c>
      <c r="B234" s="21" t="s">
        <v>411</v>
      </c>
      <c r="C234" s="21" t="s">
        <v>64</v>
      </c>
      <c r="D234" s="21">
        <v>4900</v>
      </c>
      <c r="E234" s="21"/>
    </row>
    <row r="235" spans="1:5" ht="15.6" x14ac:dyDescent="0.3">
      <c r="A235" s="21" t="s">
        <v>412</v>
      </c>
      <c r="B235" s="21" t="s">
        <v>413</v>
      </c>
      <c r="C235" s="21" t="s">
        <v>64</v>
      </c>
      <c r="D235" s="21">
        <v>7600</v>
      </c>
      <c r="E235" s="21"/>
    </row>
    <row r="236" spans="1:5" ht="15.6" x14ac:dyDescent="0.3">
      <c r="A236" s="21" t="s">
        <v>414</v>
      </c>
      <c r="B236" s="21" t="s">
        <v>415</v>
      </c>
      <c r="C236" s="21" t="s">
        <v>64</v>
      </c>
      <c r="D236" s="21">
        <v>5400</v>
      </c>
      <c r="E236" s="21"/>
    </row>
    <row r="237" spans="1:5" ht="15.6" x14ac:dyDescent="0.3">
      <c r="A237" s="21" t="s">
        <v>416</v>
      </c>
      <c r="B237" s="21" t="s">
        <v>417</v>
      </c>
      <c r="C237" s="21" t="s">
        <v>64</v>
      </c>
      <c r="D237" s="21">
        <v>5000</v>
      </c>
      <c r="E237" s="21"/>
    </row>
    <row r="238" spans="1:5" ht="15.6" x14ac:dyDescent="0.3">
      <c r="A238" s="21" t="s">
        <v>418</v>
      </c>
      <c r="B238" s="21" t="s">
        <v>419</v>
      </c>
      <c r="C238" s="21" t="s">
        <v>64</v>
      </c>
      <c r="D238" s="21">
        <v>3800</v>
      </c>
      <c r="E238" s="21"/>
    </row>
    <row r="239" spans="1:5" ht="15.6" x14ac:dyDescent="0.3">
      <c r="A239" s="21"/>
      <c r="B239" s="21"/>
      <c r="C239" s="21"/>
      <c r="D239" s="21"/>
      <c r="E239" s="21"/>
    </row>
    <row r="240" spans="1:5" ht="15.6" x14ac:dyDescent="0.3">
      <c r="A240" s="21">
        <v>4</v>
      </c>
      <c r="B240" s="31" t="s">
        <v>420</v>
      </c>
      <c r="C240" s="31"/>
      <c r="D240" s="31"/>
      <c r="E240" s="21"/>
    </row>
    <row r="241" spans="1:5" ht="15.6" x14ac:dyDescent="0.3">
      <c r="A241" s="21" t="s">
        <v>421</v>
      </c>
      <c r="B241" s="21" t="s">
        <v>24</v>
      </c>
      <c r="C241" s="21" t="s">
        <v>356</v>
      </c>
      <c r="D241" s="21">
        <v>3000</v>
      </c>
      <c r="E241" s="21"/>
    </row>
    <row r="242" spans="1:5" ht="15.6" x14ac:dyDescent="0.3">
      <c r="A242" s="21" t="s">
        <v>422</v>
      </c>
      <c r="B242" s="21" t="s">
        <v>25</v>
      </c>
      <c r="C242" s="21" t="s">
        <v>423</v>
      </c>
      <c r="D242" s="21">
        <v>4600</v>
      </c>
      <c r="E242" s="21"/>
    </row>
    <row r="243" spans="1:5" ht="15.6" x14ac:dyDescent="0.3">
      <c r="A243" s="21" t="s">
        <v>424</v>
      </c>
      <c r="B243" s="21" t="s">
        <v>425</v>
      </c>
      <c r="C243" s="21" t="s">
        <v>426</v>
      </c>
      <c r="D243" s="21">
        <v>5400</v>
      </c>
      <c r="E243" s="21"/>
    </row>
    <row r="244" spans="1:5" ht="15.6" x14ac:dyDescent="0.3">
      <c r="A244" s="21" t="s">
        <v>427</v>
      </c>
      <c r="B244" s="21" t="s">
        <v>428</v>
      </c>
      <c r="C244" s="21" t="s">
        <v>426</v>
      </c>
      <c r="D244" s="21">
        <v>4700</v>
      </c>
      <c r="E244" s="21"/>
    </row>
    <row r="245" spans="1:5" ht="15.6" x14ac:dyDescent="0.3">
      <c r="A245" s="21" t="s">
        <v>429</v>
      </c>
      <c r="B245" s="21" t="s">
        <v>430</v>
      </c>
      <c r="C245" s="21" t="s">
        <v>423</v>
      </c>
      <c r="D245" s="21">
        <v>4300</v>
      </c>
      <c r="E245" s="21"/>
    </row>
    <row r="246" spans="1:5" ht="15.6" x14ac:dyDescent="0.3">
      <c r="A246" s="21" t="s">
        <v>431</v>
      </c>
      <c r="B246" s="21" t="s">
        <v>432</v>
      </c>
      <c r="C246" s="21" t="s">
        <v>426</v>
      </c>
      <c r="D246" s="21">
        <v>4500</v>
      </c>
      <c r="E246" s="21"/>
    </row>
    <row r="247" spans="1:5" ht="15.6" x14ac:dyDescent="0.3">
      <c r="A247" s="21" t="s">
        <v>433</v>
      </c>
      <c r="B247" s="21" t="s">
        <v>434</v>
      </c>
      <c r="C247" s="21" t="s">
        <v>426</v>
      </c>
      <c r="D247" s="21">
        <v>4700</v>
      </c>
      <c r="E247" s="21"/>
    </row>
    <row r="248" spans="1:5" ht="15.6" x14ac:dyDescent="0.3">
      <c r="A248" s="21" t="s">
        <v>435</v>
      </c>
      <c r="B248" s="21" t="s">
        <v>436</v>
      </c>
      <c r="C248" s="21" t="s">
        <v>426</v>
      </c>
      <c r="D248" s="21">
        <v>4300</v>
      </c>
      <c r="E248" s="21"/>
    </row>
    <row r="249" spans="1:5" ht="15.6" x14ac:dyDescent="0.3">
      <c r="A249" s="32" t="s">
        <v>437</v>
      </c>
      <c r="B249" s="32" t="s">
        <v>438</v>
      </c>
      <c r="C249" s="32" t="s">
        <v>426</v>
      </c>
      <c r="D249" s="32">
        <v>4600</v>
      </c>
      <c r="E249" s="21"/>
    </row>
    <row r="250" spans="1:5" ht="15.6" x14ac:dyDescent="0.3">
      <c r="A250" s="32" t="s">
        <v>439</v>
      </c>
      <c r="B250" s="32" t="s">
        <v>440</v>
      </c>
      <c r="C250" s="32" t="s">
        <v>426</v>
      </c>
      <c r="D250" s="32">
        <v>4400</v>
      </c>
      <c r="E250" s="32"/>
    </row>
    <row r="251" spans="1:5" ht="15.6" x14ac:dyDescent="0.3">
      <c r="A251" s="21" t="s">
        <v>441</v>
      </c>
      <c r="B251" s="32" t="s">
        <v>442</v>
      </c>
      <c r="C251" s="32" t="s">
        <v>443</v>
      </c>
      <c r="D251" s="32">
        <v>5700</v>
      </c>
      <c r="E251" s="32"/>
    </row>
    <row r="252" spans="1:5" ht="15.6" x14ac:dyDescent="0.3">
      <c r="A252" s="21" t="s">
        <v>444</v>
      </c>
      <c r="B252" s="21" t="s">
        <v>445</v>
      </c>
      <c r="C252" s="21" t="s">
        <v>446</v>
      </c>
      <c r="D252" s="21">
        <v>2700</v>
      </c>
      <c r="E252" s="21"/>
    </row>
    <row r="253" spans="1:5" ht="15.6" x14ac:dyDescent="0.3">
      <c r="A253" s="21" t="s">
        <v>447</v>
      </c>
      <c r="B253" s="21" t="s">
        <v>448</v>
      </c>
      <c r="C253" s="21" t="s">
        <v>449</v>
      </c>
      <c r="D253" s="21">
        <v>11800</v>
      </c>
      <c r="E253" s="21"/>
    </row>
    <row r="254" spans="1:5" ht="15.6" x14ac:dyDescent="0.3">
      <c r="A254" s="21" t="s">
        <v>450</v>
      </c>
      <c r="B254" s="21" t="s">
        <v>451</v>
      </c>
      <c r="C254" s="21" t="s">
        <v>452</v>
      </c>
      <c r="D254" s="21">
        <v>2000</v>
      </c>
      <c r="E254" s="21"/>
    </row>
    <row r="255" spans="1:5" ht="15.6" x14ac:dyDescent="0.3">
      <c r="A255" s="21" t="s">
        <v>453</v>
      </c>
      <c r="B255" s="21" t="s">
        <v>454</v>
      </c>
      <c r="C255" s="21" t="s">
        <v>455</v>
      </c>
      <c r="D255" s="21">
        <v>3500</v>
      </c>
      <c r="E255" s="21"/>
    </row>
    <row r="256" spans="1:5" ht="15.6" x14ac:dyDescent="0.3">
      <c r="A256" s="21" t="s">
        <v>456</v>
      </c>
      <c r="B256" s="21" t="s">
        <v>457</v>
      </c>
      <c r="C256" s="21" t="s">
        <v>458</v>
      </c>
      <c r="D256" s="21">
        <v>2500</v>
      </c>
      <c r="E256" s="21"/>
    </row>
    <row r="257" spans="1:5" ht="15.6" x14ac:dyDescent="0.3">
      <c r="A257" s="32" t="s">
        <v>459</v>
      </c>
      <c r="B257" s="21" t="s">
        <v>85</v>
      </c>
      <c r="C257" s="21" t="s">
        <v>460</v>
      </c>
      <c r="D257" s="21">
        <v>3200</v>
      </c>
      <c r="E257" s="32"/>
    </row>
    <row r="258" spans="1:5" ht="15.6" x14ac:dyDescent="0.3">
      <c r="A258" s="32"/>
      <c r="B258" s="26"/>
      <c r="C258" s="26"/>
      <c r="D258" s="21"/>
      <c r="E258" s="21"/>
    </row>
    <row r="259" spans="1:5" ht="15.6" x14ac:dyDescent="0.3">
      <c r="A259" s="26"/>
      <c r="B259" s="21"/>
      <c r="C259" s="21"/>
      <c r="D259" s="21"/>
      <c r="E259" s="21"/>
    </row>
    <row r="260" spans="1:5" ht="15.6" x14ac:dyDescent="0.3">
      <c r="A260" s="21">
        <v>5</v>
      </c>
      <c r="B260" s="21" t="s">
        <v>461</v>
      </c>
      <c r="C260" s="21"/>
      <c r="D260" s="21"/>
      <c r="E260" s="21"/>
    </row>
    <row r="261" spans="1:5" ht="15.6" x14ac:dyDescent="0.3">
      <c r="A261" s="21" t="s">
        <v>29</v>
      </c>
      <c r="B261" s="21" t="s">
        <v>462</v>
      </c>
      <c r="C261" s="21"/>
      <c r="D261" s="26"/>
      <c r="E261" s="21"/>
    </row>
    <row r="262" spans="1:5" ht="15.6" x14ac:dyDescent="0.3">
      <c r="A262" s="21" t="s">
        <v>3</v>
      </c>
      <c r="B262" s="21" t="s">
        <v>31</v>
      </c>
      <c r="C262" s="21" t="s">
        <v>32</v>
      </c>
      <c r="D262" s="21" t="s">
        <v>5</v>
      </c>
      <c r="E262" s="21"/>
    </row>
    <row r="263" spans="1:5" ht="15.6" x14ac:dyDescent="0.3">
      <c r="A263" s="21" t="s">
        <v>463</v>
      </c>
      <c r="B263" s="21" t="s">
        <v>464</v>
      </c>
      <c r="C263" s="21" t="s">
        <v>175</v>
      </c>
      <c r="D263" s="21">
        <v>18000</v>
      </c>
      <c r="E263" s="21"/>
    </row>
    <row r="264" spans="1:5" ht="15.6" x14ac:dyDescent="0.3">
      <c r="A264" s="21" t="s">
        <v>465</v>
      </c>
      <c r="B264" s="21" t="s">
        <v>466</v>
      </c>
      <c r="C264" s="21" t="s">
        <v>175</v>
      </c>
      <c r="D264" s="21">
        <v>16000</v>
      </c>
      <c r="E264" s="21"/>
    </row>
    <row r="265" spans="1:5" ht="15.6" x14ac:dyDescent="0.3">
      <c r="A265" s="21" t="s">
        <v>467</v>
      </c>
      <c r="B265" s="21" t="s">
        <v>468</v>
      </c>
      <c r="C265" s="21" t="s">
        <v>175</v>
      </c>
      <c r="D265" s="21">
        <v>18000</v>
      </c>
      <c r="E265" s="21"/>
    </row>
    <row r="266" spans="1:5" ht="15.6" x14ac:dyDescent="0.3">
      <c r="A266" s="21" t="s">
        <v>469</v>
      </c>
      <c r="B266" s="21" t="s">
        <v>470</v>
      </c>
      <c r="C266" s="21" t="s">
        <v>32</v>
      </c>
      <c r="D266" s="21">
        <v>10000</v>
      </c>
      <c r="E266" s="21"/>
    </row>
    <row r="267" spans="1:5" ht="15.6" x14ac:dyDescent="0.3">
      <c r="A267" s="21" t="s">
        <v>471</v>
      </c>
      <c r="B267" s="21" t="s">
        <v>472</v>
      </c>
      <c r="C267" s="21" t="s">
        <v>32</v>
      </c>
      <c r="D267" s="21">
        <v>8000</v>
      </c>
      <c r="E267" s="21"/>
    </row>
    <row r="268" spans="1:5" ht="15.6" x14ac:dyDescent="0.3">
      <c r="A268" s="21" t="s">
        <v>473</v>
      </c>
      <c r="B268" s="21" t="s">
        <v>474</v>
      </c>
      <c r="C268" s="21" t="s">
        <v>32</v>
      </c>
      <c r="D268" s="21">
        <v>12000</v>
      </c>
      <c r="E268" s="21"/>
    </row>
    <row r="269" spans="1:5" ht="15.6" x14ac:dyDescent="0.3">
      <c r="A269" s="21" t="s">
        <v>475</v>
      </c>
      <c r="B269" s="21" t="s">
        <v>476</v>
      </c>
      <c r="C269" s="21" t="s">
        <v>175</v>
      </c>
      <c r="D269" s="21">
        <v>12000</v>
      </c>
      <c r="E269" s="21"/>
    </row>
    <row r="270" spans="1:5" ht="15.6" x14ac:dyDescent="0.3">
      <c r="A270" s="21" t="s">
        <v>477</v>
      </c>
      <c r="B270" s="21" t="s">
        <v>478</v>
      </c>
      <c r="C270" s="21" t="s">
        <v>32</v>
      </c>
      <c r="D270" s="21">
        <v>7000</v>
      </c>
      <c r="E270" s="21"/>
    </row>
    <row r="271" spans="1:5" ht="15.6" x14ac:dyDescent="0.3">
      <c r="A271" s="21" t="s">
        <v>479</v>
      </c>
      <c r="B271" s="21" t="s">
        <v>480</v>
      </c>
      <c r="C271" s="21" t="s">
        <v>32</v>
      </c>
      <c r="D271" s="21">
        <v>12000</v>
      </c>
      <c r="E271" s="21"/>
    </row>
    <row r="272" spans="1:5" ht="15.6" x14ac:dyDescent="0.3">
      <c r="A272" s="21" t="s">
        <v>481</v>
      </c>
      <c r="B272" s="21" t="s">
        <v>482</v>
      </c>
      <c r="C272" s="21" t="s">
        <v>32</v>
      </c>
      <c r="D272" s="21">
        <v>16000</v>
      </c>
      <c r="E272" s="21"/>
    </row>
    <row r="273" spans="1:5" ht="15.6" x14ac:dyDescent="0.3">
      <c r="A273" s="21" t="s">
        <v>483</v>
      </c>
      <c r="B273" s="21" t="s">
        <v>484</v>
      </c>
      <c r="C273" s="21" t="s">
        <v>175</v>
      </c>
      <c r="D273" s="21">
        <v>20000</v>
      </c>
      <c r="E273" s="21"/>
    </row>
    <row r="274" spans="1:5" ht="15.6" x14ac:dyDescent="0.3">
      <c r="A274" s="21" t="s">
        <v>485</v>
      </c>
      <c r="B274" s="21" t="s">
        <v>486</v>
      </c>
      <c r="C274" s="21" t="s">
        <v>32</v>
      </c>
      <c r="D274" s="21">
        <v>10000</v>
      </c>
      <c r="E274" s="21"/>
    </row>
    <row r="275" spans="1:5" ht="15.6" x14ac:dyDescent="0.3">
      <c r="A275" s="21" t="s">
        <v>487</v>
      </c>
      <c r="B275" s="21" t="s">
        <v>488</v>
      </c>
      <c r="C275" s="21" t="s">
        <v>32</v>
      </c>
      <c r="D275" s="21">
        <v>10000</v>
      </c>
      <c r="E275" s="21"/>
    </row>
    <row r="276" spans="1:5" ht="15.6" x14ac:dyDescent="0.3">
      <c r="A276" s="33" t="s">
        <v>489</v>
      </c>
      <c r="B276" s="25" t="s">
        <v>490</v>
      </c>
      <c r="C276" s="33" t="s">
        <v>175</v>
      </c>
      <c r="D276" s="34">
        <v>20000</v>
      </c>
      <c r="E276" s="21"/>
    </row>
    <row r="277" spans="1:5" ht="15.6" x14ac:dyDescent="0.3">
      <c r="A277" s="28" t="s">
        <v>491</v>
      </c>
      <c r="B277" s="21" t="s">
        <v>492</v>
      </c>
      <c r="C277" s="28" t="s">
        <v>175</v>
      </c>
      <c r="D277" s="29">
        <v>18000</v>
      </c>
      <c r="E277" s="21"/>
    </row>
    <row r="278" spans="1:5" ht="15.6" x14ac:dyDescent="0.3">
      <c r="A278" s="28" t="s">
        <v>493</v>
      </c>
      <c r="B278" s="21" t="s">
        <v>494</v>
      </c>
      <c r="C278" s="28" t="s">
        <v>32</v>
      </c>
      <c r="D278" s="29">
        <v>9000</v>
      </c>
      <c r="E278" s="21"/>
    </row>
    <row r="279" spans="1:5" ht="15.6" x14ac:dyDescent="0.3">
      <c r="A279" s="28" t="s">
        <v>495</v>
      </c>
      <c r="B279" s="21" t="s">
        <v>496</v>
      </c>
      <c r="C279" s="28" t="s">
        <v>175</v>
      </c>
      <c r="D279" s="29">
        <v>15000</v>
      </c>
      <c r="E279" s="21"/>
    </row>
    <row r="280" spans="1:5" ht="15.6" x14ac:dyDescent="0.3">
      <c r="A280" s="28" t="s">
        <v>497</v>
      </c>
      <c r="B280" s="25" t="s">
        <v>498</v>
      </c>
      <c r="C280" s="28" t="s">
        <v>32</v>
      </c>
      <c r="D280" s="29">
        <v>10000</v>
      </c>
      <c r="E280" s="21"/>
    </row>
    <row r="281" spans="1:5" ht="15.6" x14ac:dyDescent="0.3">
      <c r="A281" s="33" t="s">
        <v>499</v>
      </c>
      <c r="B281" s="25" t="s">
        <v>500</v>
      </c>
      <c r="C281" s="33" t="s">
        <v>32</v>
      </c>
      <c r="D281" s="34">
        <v>14000</v>
      </c>
      <c r="E281" s="21"/>
    </row>
    <row r="282" spans="1:5" ht="15.6" x14ac:dyDescent="0.3">
      <c r="A282" s="33" t="s">
        <v>501</v>
      </c>
      <c r="B282" s="25" t="s">
        <v>502</v>
      </c>
      <c r="C282" s="33" t="s">
        <v>32</v>
      </c>
      <c r="D282" s="34">
        <v>18000</v>
      </c>
      <c r="E282" s="21"/>
    </row>
    <row r="283" spans="1:5" ht="15.6" x14ac:dyDescent="0.3">
      <c r="A283" s="33" t="s">
        <v>503</v>
      </c>
      <c r="B283" s="25" t="s">
        <v>504</v>
      </c>
      <c r="C283" s="33" t="s">
        <v>32</v>
      </c>
      <c r="D283" s="34">
        <v>14000</v>
      </c>
      <c r="E283" s="21"/>
    </row>
    <row r="284" spans="1:5" ht="15.6" x14ac:dyDescent="0.3">
      <c r="A284" s="26"/>
      <c r="B284" s="21"/>
      <c r="C284" s="33"/>
      <c r="D284" s="21"/>
      <c r="E284" s="21"/>
    </row>
    <row r="285" spans="1:5" ht="15.6" x14ac:dyDescent="0.3">
      <c r="A285" s="21">
        <v>6</v>
      </c>
      <c r="B285" s="21" t="s">
        <v>505</v>
      </c>
      <c r="C285" s="21"/>
      <c r="D285" s="21"/>
      <c r="E285" s="21"/>
    </row>
    <row r="286" spans="1:5" ht="15.6" x14ac:dyDescent="0.3">
      <c r="A286" s="21" t="s">
        <v>29</v>
      </c>
      <c r="B286" s="21" t="s">
        <v>506</v>
      </c>
      <c r="C286" s="21"/>
      <c r="D286" s="21"/>
      <c r="E286" s="21"/>
    </row>
    <row r="287" spans="1:5" ht="15.6" x14ac:dyDescent="0.3">
      <c r="A287" s="21" t="s">
        <v>3</v>
      </c>
      <c r="B287" s="21" t="s">
        <v>31</v>
      </c>
      <c r="C287" s="21" t="s">
        <v>32</v>
      </c>
      <c r="D287" s="21" t="s">
        <v>5</v>
      </c>
      <c r="E287" s="21"/>
    </row>
    <row r="288" spans="1:5" ht="15.6" x14ac:dyDescent="0.3">
      <c r="A288" s="21" t="s">
        <v>507</v>
      </c>
      <c r="B288" s="21" t="s">
        <v>508</v>
      </c>
      <c r="C288" s="21" t="s">
        <v>356</v>
      </c>
      <c r="D288" s="21">
        <v>5500</v>
      </c>
      <c r="E288" s="21"/>
    </row>
    <row r="289" spans="1:5" ht="15.6" x14ac:dyDescent="0.3">
      <c r="A289" s="21" t="s">
        <v>509</v>
      </c>
      <c r="B289" s="21" t="s">
        <v>508</v>
      </c>
      <c r="C289" s="21" t="s">
        <v>64</v>
      </c>
      <c r="D289" s="21">
        <v>3000</v>
      </c>
      <c r="E289" s="21"/>
    </row>
    <row r="290" spans="1:5" ht="15.6" x14ac:dyDescent="0.3">
      <c r="A290" s="21" t="s">
        <v>510</v>
      </c>
      <c r="B290" s="21" t="s">
        <v>511</v>
      </c>
      <c r="C290" s="21" t="s">
        <v>391</v>
      </c>
      <c r="D290" s="21">
        <v>2500</v>
      </c>
      <c r="E290" s="21"/>
    </row>
    <row r="291" spans="1:5" ht="15.6" x14ac:dyDescent="0.3">
      <c r="A291" s="21" t="s">
        <v>512</v>
      </c>
      <c r="B291" s="21" t="s">
        <v>513</v>
      </c>
      <c r="C291" s="21" t="s">
        <v>514</v>
      </c>
      <c r="D291" s="21">
        <v>3500</v>
      </c>
      <c r="E291" s="21"/>
    </row>
    <row r="292" spans="1:5" ht="15.6" x14ac:dyDescent="0.3">
      <c r="A292" s="21" t="s">
        <v>515</v>
      </c>
      <c r="B292" s="21" t="s">
        <v>516</v>
      </c>
      <c r="C292" s="21" t="s">
        <v>517</v>
      </c>
      <c r="D292" s="21">
        <v>3000</v>
      </c>
      <c r="E292" s="21"/>
    </row>
    <row r="293" spans="1:5" ht="15.6" x14ac:dyDescent="0.3">
      <c r="A293" s="21" t="s">
        <v>518</v>
      </c>
      <c r="B293" s="21" t="s">
        <v>519</v>
      </c>
      <c r="C293" s="21" t="s">
        <v>35</v>
      </c>
      <c r="D293" s="21">
        <v>4500</v>
      </c>
      <c r="E293" s="21"/>
    </row>
    <row r="294" spans="1:5" ht="15.6" x14ac:dyDescent="0.3">
      <c r="A294" s="21" t="s">
        <v>520</v>
      </c>
      <c r="B294" s="21" t="s">
        <v>521</v>
      </c>
      <c r="C294" s="21" t="s">
        <v>356</v>
      </c>
      <c r="D294" s="21">
        <v>5000</v>
      </c>
      <c r="E294" s="21"/>
    </row>
    <row r="295" spans="1:5" ht="15.6" x14ac:dyDescent="0.3">
      <c r="A295" s="21" t="s">
        <v>522</v>
      </c>
      <c r="B295" s="21" t="s">
        <v>523</v>
      </c>
      <c r="C295" s="21" t="s">
        <v>460</v>
      </c>
      <c r="D295" s="21">
        <v>2500</v>
      </c>
      <c r="E295" s="21"/>
    </row>
    <row r="296" spans="1:5" ht="15.6" x14ac:dyDescent="0.3">
      <c r="A296" s="21" t="s">
        <v>524</v>
      </c>
      <c r="B296" s="21" t="s">
        <v>525</v>
      </c>
      <c r="C296" s="21" t="s">
        <v>104</v>
      </c>
      <c r="D296" s="21">
        <v>25000</v>
      </c>
      <c r="E296" s="21"/>
    </row>
    <row r="297" spans="1:5" ht="15.6" x14ac:dyDescent="0.3">
      <c r="A297" s="21" t="s">
        <v>526</v>
      </c>
      <c r="B297" s="21" t="s">
        <v>523</v>
      </c>
      <c r="C297" s="21" t="s">
        <v>83</v>
      </c>
      <c r="D297" s="21">
        <v>16000</v>
      </c>
      <c r="E297" s="21"/>
    </row>
    <row r="298" spans="1:5" ht="15.6" x14ac:dyDescent="0.3">
      <c r="A298" s="21" t="s">
        <v>527</v>
      </c>
      <c r="B298" s="21" t="s">
        <v>528</v>
      </c>
      <c r="C298" s="21" t="s">
        <v>104</v>
      </c>
      <c r="D298" s="21">
        <v>10000</v>
      </c>
      <c r="E298" s="21"/>
    </row>
    <row r="299" spans="1:5" ht="15.6" x14ac:dyDescent="0.3">
      <c r="A299" s="28" t="s">
        <v>529</v>
      </c>
      <c r="B299" s="28" t="s">
        <v>530</v>
      </c>
      <c r="C299" s="28" t="s">
        <v>458</v>
      </c>
      <c r="D299" s="29">
        <v>4000</v>
      </c>
      <c r="E299" s="21"/>
    </row>
    <row r="300" spans="1:5" ht="15.6" x14ac:dyDescent="0.3">
      <c r="A300" s="21" t="s">
        <v>531</v>
      </c>
      <c r="B300" s="21" t="s">
        <v>532</v>
      </c>
      <c r="C300" s="21" t="s">
        <v>64</v>
      </c>
      <c r="D300" s="21">
        <v>1500</v>
      </c>
      <c r="E300" s="21"/>
    </row>
    <row r="301" spans="1:5" ht="15.6" x14ac:dyDescent="0.3">
      <c r="A301" s="21" t="s">
        <v>533</v>
      </c>
      <c r="B301" s="21" t="s">
        <v>534</v>
      </c>
      <c r="C301" s="21" t="s">
        <v>64</v>
      </c>
      <c r="D301" s="21">
        <v>2500</v>
      </c>
      <c r="E301" s="21"/>
    </row>
    <row r="302" spans="1:5" ht="15.6" x14ac:dyDescent="0.3">
      <c r="A302" s="21" t="s">
        <v>535</v>
      </c>
      <c r="B302" s="21" t="s">
        <v>536</v>
      </c>
      <c r="C302" s="21" t="s">
        <v>64</v>
      </c>
      <c r="D302" s="21">
        <v>3000</v>
      </c>
      <c r="E302" s="21"/>
    </row>
    <row r="303" spans="1:5" ht="15.6" x14ac:dyDescent="0.3">
      <c r="A303" s="21" t="s">
        <v>537</v>
      </c>
      <c r="B303" s="21" t="s">
        <v>538</v>
      </c>
      <c r="C303" s="21" t="s">
        <v>64</v>
      </c>
      <c r="D303" s="21">
        <v>3000</v>
      </c>
      <c r="E303" s="21"/>
    </row>
    <row r="304" spans="1:5" ht="15.6" x14ac:dyDescent="0.3">
      <c r="A304" s="21" t="s">
        <v>539</v>
      </c>
      <c r="B304" s="21" t="s">
        <v>540</v>
      </c>
      <c r="C304" s="21" t="s">
        <v>423</v>
      </c>
      <c r="D304" s="21">
        <v>2500</v>
      </c>
      <c r="E304" s="21"/>
    </row>
    <row r="305" spans="1:5" ht="15.6" x14ac:dyDescent="0.3">
      <c r="A305" s="21" t="s">
        <v>541</v>
      </c>
      <c r="B305" s="21" t="s">
        <v>542</v>
      </c>
      <c r="C305" s="21" t="s">
        <v>423</v>
      </c>
      <c r="D305" s="21">
        <v>1500</v>
      </c>
      <c r="E305" s="21"/>
    </row>
    <row r="306" spans="1:5" ht="15.6" x14ac:dyDescent="0.3">
      <c r="A306" s="21" t="s">
        <v>541</v>
      </c>
      <c r="B306" s="21" t="s">
        <v>543</v>
      </c>
      <c r="C306" s="21" t="s">
        <v>544</v>
      </c>
      <c r="D306" s="21">
        <v>3000</v>
      </c>
      <c r="E306" s="21"/>
    </row>
    <row r="307" spans="1:5" ht="15.6" x14ac:dyDescent="0.3">
      <c r="A307" s="21" t="s">
        <v>545</v>
      </c>
      <c r="B307" s="21" t="s">
        <v>546</v>
      </c>
      <c r="C307" s="21" t="s">
        <v>356</v>
      </c>
      <c r="D307" s="21">
        <v>2000</v>
      </c>
      <c r="E307" s="21"/>
    </row>
    <row r="308" spans="1:5" ht="15.6" x14ac:dyDescent="0.3">
      <c r="A308" s="21" t="s">
        <v>547</v>
      </c>
      <c r="B308" s="21" t="s">
        <v>548</v>
      </c>
      <c r="C308" s="21" t="s">
        <v>64</v>
      </c>
      <c r="D308" s="21">
        <v>5000</v>
      </c>
      <c r="E308" s="21"/>
    </row>
    <row r="309" spans="1:5" ht="15.6" x14ac:dyDescent="0.3">
      <c r="A309" s="21" t="s">
        <v>547</v>
      </c>
      <c r="B309" s="21" t="s">
        <v>549</v>
      </c>
      <c r="C309" s="21" t="s">
        <v>64</v>
      </c>
      <c r="D309" s="21">
        <v>4500</v>
      </c>
      <c r="E309" s="21"/>
    </row>
    <row r="310" spans="1:5" ht="15.6" x14ac:dyDescent="0.3">
      <c r="A310" s="21" t="s">
        <v>550</v>
      </c>
      <c r="B310" s="21" t="s">
        <v>551</v>
      </c>
      <c r="C310" s="21" t="s">
        <v>356</v>
      </c>
      <c r="D310" s="21">
        <v>2700</v>
      </c>
      <c r="E310" s="21"/>
    </row>
    <row r="311" spans="1:5" ht="15.6" x14ac:dyDescent="0.3">
      <c r="A311" s="21" t="s">
        <v>552</v>
      </c>
      <c r="B311" s="21" t="s">
        <v>553</v>
      </c>
      <c r="C311" s="21" t="s">
        <v>356</v>
      </c>
      <c r="D311" s="21">
        <v>4000</v>
      </c>
      <c r="E311" s="21"/>
    </row>
    <row r="312" spans="1:5" ht="15.6" x14ac:dyDescent="0.3">
      <c r="A312" s="21" t="s">
        <v>554</v>
      </c>
      <c r="B312" s="21" t="s">
        <v>555</v>
      </c>
      <c r="C312" s="21" t="s">
        <v>544</v>
      </c>
      <c r="D312" s="21">
        <v>4500</v>
      </c>
      <c r="E312" s="21"/>
    </row>
    <row r="313" spans="1:5" ht="15.6" x14ac:dyDescent="0.3">
      <c r="A313" s="21" t="s">
        <v>556</v>
      </c>
      <c r="B313" s="21" t="s">
        <v>557</v>
      </c>
      <c r="C313" s="21" t="s">
        <v>460</v>
      </c>
      <c r="D313" s="21">
        <v>2500</v>
      </c>
      <c r="E313" s="21"/>
    </row>
    <row r="314" spans="1:5" ht="15.6" x14ac:dyDescent="0.3">
      <c r="A314" s="21" t="s">
        <v>558</v>
      </c>
      <c r="B314" s="21" t="s">
        <v>559</v>
      </c>
      <c r="C314" s="21" t="s">
        <v>458</v>
      </c>
      <c r="D314" s="21">
        <v>2500</v>
      </c>
      <c r="E314" s="21"/>
    </row>
    <row r="315" spans="1:5" ht="15.6" x14ac:dyDescent="0.3">
      <c r="A315" s="21" t="s">
        <v>560</v>
      </c>
      <c r="B315" s="21" t="s">
        <v>561</v>
      </c>
      <c r="C315" s="21" t="s">
        <v>53</v>
      </c>
      <c r="D315" s="21">
        <v>4500</v>
      </c>
      <c r="E315" s="21"/>
    </row>
    <row r="316" spans="1:5" ht="15.6" x14ac:dyDescent="0.3">
      <c r="A316" s="21" t="s">
        <v>562</v>
      </c>
      <c r="B316" s="21" t="s">
        <v>563</v>
      </c>
      <c r="C316" s="21" t="s">
        <v>391</v>
      </c>
      <c r="D316" s="21">
        <v>4500</v>
      </c>
      <c r="E316" s="21"/>
    </row>
    <row r="317" spans="1:5" ht="15.6" x14ac:dyDescent="0.3">
      <c r="A317" s="21" t="s">
        <v>564</v>
      </c>
      <c r="B317" s="21" t="s">
        <v>565</v>
      </c>
      <c r="C317" s="21" t="s">
        <v>391</v>
      </c>
      <c r="D317" s="21">
        <v>5300</v>
      </c>
      <c r="E317" s="21"/>
    </row>
    <row r="318" spans="1:5" ht="15.6" x14ac:dyDescent="0.3">
      <c r="A318" s="21" t="s">
        <v>566</v>
      </c>
      <c r="B318" s="21" t="s">
        <v>567</v>
      </c>
      <c r="C318" s="21" t="s">
        <v>64</v>
      </c>
      <c r="D318" s="21">
        <v>2000</v>
      </c>
      <c r="E318" s="21"/>
    </row>
    <row r="319" spans="1:5" ht="15.6" x14ac:dyDescent="0.3">
      <c r="A319" s="21" t="s">
        <v>568</v>
      </c>
      <c r="B319" s="21" t="s">
        <v>569</v>
      </c>
      <c r="C319" s="21" t="s">
        <v>544</v>
      </c>
      <c r="D319" s="21">
        <v>1500</v>
      </c>
      <c r="E319" s="21"/>
    </row>
    <row r="320" spans="1:5" ht="15.6" x14ac:dyDescent="0.3">
      <c r="A320" s="21" t="s">
        <v>570</v>
      </c>
      <c r="B320" s="21" t="s">
        <v>571</v>
      </c>
      <c r="C320" s="21" t="s">
        <v>544</v>
      </c>
      <c r="D320" s="21">
        <v>1000</v>
      </c>
      <c r="E320" s="21"/>
    </row>
    <row r="321" spans="1:5" ht="15.6" x14ac:dyDescent="0.3">
      <c r="A321" s="21" t="s">
        <v>572</v>
      </c>
      <c r="B321" s="21" t="s">
        <v>573</v>
      </c>
      <c r="C321" s="21" t="s">
        <v>544</v>
      </c>
      <c r="D321" s="21">
        <v>2000</v>
      </c>
      <c r="E321" s="21"/>
    </row>
    <row r="322" spans="1:5" ht="15.6" x14ac:dyDescent="0.3">
      <c r="A322" s="21" t="s">
        <v>574</v>
      </c>
      <c r="B322" s="21" t="s">
        <v>454</v>
      </c>
      <c r="C322" s="21" t="s">
        <v>32</v>
      </c>
      <c r="D322" s="21">
        <v>7500</v>
      </c>
      <c r="E322" s="21"/>
    </row>
    <row r="323" spans="1:5" ht="15.6" x14ac:dyDescent="0.3">
      <c r="A323" s="21" t="s">
        <v>575</v>
      </c>
      <c r="B323" s="21" t="s">
        <v>576</v>
      </c>
      <c r="C323" s="21" t="s">
        <v>64</v>
      </c>
      <c r="D323" s="21">
        <v>2000</v>
      </c>
      <c r="E323" s="21"/>
    </row>
    <row r="324" spans="1:5" ht="15.6" x14ac:dyDescent="0.3">
      <c r="A324" s="21" t="s">
        <v>577</v>
      </c>
      <c r="B324" s="21" t="s">
        <v>578</v>
      </c>
      <c r="C324" s="21" t="s">
        <v>579</v>
      </c>
      <c r="D324" s="21">
        <v>2000</v>
      </c>
      <c r="E324" s="21"/>
    </row>
    <row r="325" spans="1:5" ht="15.6" x14ac:dyDescent="0.3">
      <c r="A325" s="21" t="s">
        <v>580</v>
      </c>
      <c r="B325" s="21" t="s">
        <v>581</v>
      </c>
      <c r="C325" s="21" t="s">
        <v>582</v>
      </c>
      <c r="D325" s="21">
        <v>9500</v>
      </c>
      <c r="E325" s="21"/>
    </row>
    <row r="326" spans="1:5" ht="15.6" x14ac:dyDescent="0.3">
      <c r="A326" s="21" t="s">
        <v>583</v>
      </c>
      <c r="B326" s="21" t="s">
        <v>584</v>
      </c>
      <c r="C326" s="21" t="s">
        <v>460</v>
      </c>
      <c r="D326" s="21">
        <v>5500</v>
      </c>
      <c r="E326" s="21"/>
    </row>
    <row r="327" spans="1:5" ht="15.6" x14ac:dyDescent="0.3">
      <c r="A327" s="21" t="s">
        <v>585</v>
      </c>
      <c r="B327" s="21" t="s">
        <v>586</v>
      </c>
      <c r="C327" s="21" t="s">
        <v>460</v>
      </c>
      <c r="D327" s="21">
        <v>5000</v>
      </c>
      <c r="E327" s="21"/>
    </row>
    <row r="328" spans="1:5" ht="15.6" x14ac:dyDescent="0.3">
      <c r="A328" s="21" t="s">
        <v>587</v>
      </c>
      <c r="B328" s="21" t="s">
        <v>584</v>
      </c>
      <c r="C328" s="21" t="s">
        <v>391</v>
      </c>
      <c r="D328" s="21">
        <v>13500</v>
      </c>
      <c r="E328" s="21"/>
    </row>
    <row r="329" spans="1:5" ht="15.6" x14ac:dyDescent="0.3">
      <c r="A329" s="21" t="s">
        <v>588</v>
      </c>
      <c r="B329" s="21" t="s">
        <v>589</v>
      </c>
      <c r="C329" s="21" t="s">
        <v>590</v>
      </c>
      <c r="D329" s="21">
        <v>2300</v>
      </c>
      <c r="E329" s="21"/>
    </row>
    <row r="330" spans="1:5" ht="15.6" x14ac:dyDescent="0.3">
      <c r="A330" s="21" t="s">
        <v>591</v>
      </c>
      <c r="B330" s="21" t="s">
        <v>592</v>
      </c>
      <c r="C330" s="21" t="s">
        <v>64</v>
      </c>
      <c r="D330" s="21">
        <v>2000</v>
      </c>
      <c r="E330" s="21"/>
    </row>
    <row r="331" spans="1:5" ht="15.6" x14ac:dyDescent="0.3">
      <c r="A331" s="21" t="s">
        <v>593</v>
      </c>
      <c r="B331" s="21" t="s">
        <v>594</v>
      </c>
      <c r="C331" s="21" t="s">
        <v>544</v>
      </c>
      <c r="D331" s="21">
        <v>3500</v>
      </c>
      <c r="E331" s="21"/>
    </row>
    <row r="332" spans="1:5" ht="15.6" x14ac:dyDescent="0.3">
      <c r="A332" s="26"/>
      <c r="B332" s="21"/>
      <c r="C332" s="21"/>
      <c r="D332" s="21"/>
      <c r="E332" s="21"/>
    </row>
    <row r="333" spans="1:5" ht="15.6" x14ac:dyDescent="0.3">
      <c r="A333" s="21">
        <v>7</v>
      </c>
      <c r="B333" s="21" t="s">
        <v>595</v>
      </c>
      <c r="C333" s="21"/>
      <c r="D333" s="21"/>
      <c r="E333" s="21"/>
    </row>
    <row r="334" spans="1:5" ht="15.6" x14ac:dyDescent="0.3">
      <c r="A334" s="21" t="s">
        <v>29</v>
      </c>
      <c r="B334" s="21" t="s">
        <v>596</v>
      </c>
      <c r="C334" s="21"/>
      <c r="D334" s="21"/>
      <c r="E334" s="21"/>
    </row>
    <row r="335" spans="1:5" ht="15.6" x14ac:dyDescent="0.3">
      <c r="A335" s="21" t="s">
        <v>3</v>
      </c>
      <c r="B335" s="21" t="s">
        <v>31</v>
      </c>
      <c r="C335" s="21" t="s">
        <v>32</v>
      </c>
      <c r="D335" s="21" t="s">
        <v>5</v>
      </c>
      <c r="E335" s="21"/>
    </row>
    <row r="336" spans="1:5" ht="15.6" x14ac:dyDescent="0.3">
      <c r="A336" s="21" t="s">
        <v>597</v>
      </c>
      <c r="B336" s="21" t="s">
        <v>598</v>
      </c>
      <c r="C336" s="21" t="s">
        <v>53</v>
      </c>
      <c r="D336" s="21">
        <v>6000</v>
      </c>
      <c r="E336" s="21"/>
    </row>
    <row r="337" spans="1:5" ht="15.6" x14ac:dyDescent="0.3">
      <c r="A337" s="21" t="s">
        <v>599</v>
      </c>
      <c r="B337" s="21" t="s">
        <v>600</v>
      </c>
      <c r="C337" s="21" t="s">
        <v>53</v>
      </c>
      <c r="D337" s="21">
        <v>6000</v>
      </c>
      <c r="E337" s="21"/>
    </row>
    <row r="338" spans="1:5" ht="15.6" x14ac:dyDescent="0.3">
      <c r="A338" s="21" t="s">
        <v>601</v>
      </c>
      <c r="B338" s="21" t="s">
        <v>602</v>
      </c>
      <c r="C338" s="21" t="s">
        <v>53</v>
      </c>
      <c r="D338" s="21">
        <v>6000</v>
      </c>
      <c r="E338" s="21"/>
    </row>
    <row r="339" spans="1:5" ht="15.6" x14ac:dyDescent="0.3">
      <c r="A339" s="21" t="s">
        <v>603</v>
      </c>
      <c r="B339" s="21" t="s">
        <v>604</v>
      </c>
      <c r="C339" s="21" t="s">
        <v>53</v>
      </c>
      <c r="D339" s="21">
        <v>6000</v>
      </c>
      <c r="E339" s="21"/>
    </row>
    <row r="340" spans="1:5" ht="15.6" x14ac:dyDescent="0.3">
      <c r="A340" s="21" t="s">
        <v>605</v>
      </c>
      <c r="B340" s="21" t="s">
        <v>606</v>
      </c>
      <c r="C340" s="21" t="s">
        <v>53</v>
      </c>
      <c r="D340" s="21">
        <v>6000</v>
      </c>
      <c r="E340" s="21"/>
    </row>
    <row r="341" spans="1:5" ht="15.6" x14ac:dyDescent="0.3">
      <c r="A341" s="21" t="s">
        <v>607</v>
      </c>
      <c r="B341" s="21" t="s">
        <v>608</v>
      </c>
      <c r="C341" s="21" t="s">
        <v>93</v>
      </c>
      <c r="D341" s="21">
        <v>9000</v>
      </c>
      <c r="E341" s="21"/>
    </row>
    <row r="342" spans="1:5" ht="15.6" x14ac:dyDescent="0.3">
      <c r="A342" s="21" t="s">
        <v>609</v>
      </c>
      <c r="B342" s="21" t="s">
        <v>610</v>
      </c>
      <c r="C342" s="21" t="s">
        <v>61</v>
      </c>
      <c r="D342" s="21">
        <v>7000</v>
      </c>
      <c r="E342" s="21"/>
    </row>
    <row r="343" spans="1:5" ht="15.6" x14ac:dyDescent="0.3">
      <c r="A343" s="21" t="s">
        <v>611</v>
      </c>
      <c r="B343" s="21" t="s">
        <v>612</v>
      </c>
      <c r="C343" s="21" t="s">
        <v>613</v>
      </c>
      <c r="D343" s="29">
        <v>8000</v>
      </c>
      <c r="E343" s="21"/>
    </row>
    <row r="344" spans="1:5" ht="15.6" x14ac:dyDescent="0.3">
      <c r="A344" s="21" t="s">
        <v>614</v>
      </c>
      <c r="B344" s="21" t="s">
        <v>615</v>
      </c>
      <c r="C344" s="21" t="s">
        <v>613</v>
      </c>
      <c r="D344" s="21">
        <v>8000</v>
      </c>
      <c r="E344" s="21"/>
    </row>
    <row r="345" spans="1:5" ht="15.6" x14ac:dyDescent="0.3">
      <c r="A345" s="21" t="s">
        <v>616</v>
      </c>
      <c r="B345" s="21" t="s">
        <v>617</v>
      </c>
      <c r="C345" s="21" t="s">
        <v>613</v>
      </c>
      <c r="D345" s="21">
        <v>8500</v>
      </c>
      <c r="E345" s="21"/>
    </row>
    <row r="346" spans="1:5" ht="15.6" x14ac:dyDescent="0.3">
      <c r="A346" s="21" t="s">
        <v>618</v>
      </c>
      <c r="B346" s="21" t="s">
        <v>619</v>
      </c>
      <c r="C346" s="21" t="s">
        <v>620</v>
      </c>
      <c r="D346" s="21">
        <v>5500</v>
      </c>
      <c r="E346" s="28"/>
    </row>
    <row r="347" spans="1:5" ht="15.6" x14ac:dyDescent="0.3">
      <c r="A347" s="21" t="s">
        <v>621</v>
      </c>
      <c r="B347" s="21" t="s">
        <v>622</v>
      </c>
      <c r="C347" s="21" t="s">
        <v>93</v>
      </c>
      <c r="D347" s="21">
        <v>11500</v>
      </c>
      <c r="E347" s="28"/>
    </row>
    <row r="348" spans="1:5" ht="15.6" x14ac:dyDescent="0.3">
      <c r="A348" s="21" t="s">
        <v>621</v>
      </c>
      <c r="B348" s="21" t="s">
        <v>622</v>
      </c>
      <c r="C348" s="21" t="s">
        <v>61</v>
      </c>
      <c r="D348" s="21">
        <v>7500</v>
      </c>
      <c r="E348" s="28"/>
    </row>
    <row r="349" spans="1:5" ht="15.6" x14ac:dyDescent="0.3">
      <c r="A349" s="21" t="s">
        <v>623</v>
      </c>
      <c r="B349" s="21" t="s">
        <v>624</v>
      </c>
      <c r="C349" s="21" t="s">
        <v>32</v>
      </c>
      <c r="D349" s="21">
        <v>9500</v>
      </c>
      <c r="E349" s="28"/>
    </row>
    <row r="350" spans="1:5" ht="15.6" x14ac:dyDescent="0.3">
      <c r="A350" s="21" t="s">
        <v>625</v>
      </c>
      <c r="B350" s="21" t="s">
        <v>626</v>
      </c>
      <c r="C350" s="21" t="s">
        <v>53</v>
      </c>
      <c r="D350" s="21">
        <v>6000</v>
      </c>
      <c r="E350" s="28"/>
    </row>
    <row r="351" spans="1:5" ht="15.6" x14ac:dyDescent="0.3">
      <c r="A351" s="21" t="s">
        <v>627</v>
      </c>
      <c r="B351" s="21" t="s">
        <v>628</v>
      </c>
      <c r="C351" s="21" t="s">
        <v>53</v>
      </c>
      <c r="D351" s="21">
        <v>6000</v>
      </c>
      <c r="E351" s="28"/>
    </row>
    <row r="352" spans="1:5" ht="15.6" x14ac:dyDescent="0.3">
      <c r="A352" s="21" t="s">
        <v>629</v>
      </c>
      <c r="B352" s="21" t="s">
        <v>630</v>
      </c>
      <c r="C352" s="21" t="s">
        <v>631</v>
      </c>
      <c r="D352" s="21">
        <v>7000</v>
      </c>
      <c r="E352" s="28"/>
    </row>
    <row r="353" spans="1:5" ht="15.6" x14ac:dyDescent="0.3">
      <c r="A353" s="21" t="s">
        <v>19</v>
      </c>
      <c r="B353" s="21" t="s">
        <v>632</v>
      </c>
      <c r="C353" s="21" t="s">
        <v>633</v>
      </c>
      <c r="D353" s="21">
        <v>12000</v>
      </c>
      <c r="E353" s="28"/>
    </row>
    <row r="354" spans="1:5" ht="15.6" x14ac:dyDescent="0.3">
      <c r="A354" s="21" t="s">
        <v>634</v>
      </c>
      <c r="B354" s="21" t="s">
        <v>635</v>
      </c>
      <c r="C354" s="21" t="s">
        <v>53</v>
      </c>
      <c r="D354" s="21">
        <v>4500</v>
      </c>
      <c r="E354" s="28"/>
    </row>
    <row r="355" spans="1:5" ht="15.6" x14ac:dyDescent="0.3">
      <c r="A355" s="21" t="s">
        <v>636</v>
      </c>
      <c r="B355" s="21" t="s">
        <v>637</v>
      </c>
      <c r="C355" s="21" t="s">
        <v>638</v>
      </c>
      <c r="D355" s="21">
        <v>6000</v>
      </c>
      <c r="E355" s="28"/>
    </row>
    <row r="356" spans="1:5" ht="15.6" x14ac:dyDescent="0.3">
      <c r="A356" s="21" t="s">
        <v>17</v>
      </c>
      <c r="B356" s="21" t="s">
        <v>639</v>
      </c>
      <c r="C356" s="21" t="s">
        <v>32</v>
      </c>
      <c r="D356" s="21">
        <v>5000</v>
      </c>
      <c r="E356" s="28"/>
    </row>
    <row r="357" spans="1:5" ht="15.6" x14ac:dyDescent="0.3">
      <c r="A357" s="21" t="s">
        <v>640</v>
      </c>
      <c r="B357" s="21" t="s">
        <v>641</v>
      </c>
      <c r="C357" s="21" t="s">
        <v>32</v>
      </c>
      <c r="D357" s="21">
        <v>6000</v>
      </c>
      <c r="E357" s="21"/>
    </row>
    <row r="358" spans="1:5" ht="15.6" x14ac:dyDescent="0.3">
      <c r="A358" s="21" t="s">
        <v>642</v>
      </c>
      <c r="B358" s="21" t="s">
        <v>643</v>
      </c>
      <c r="C358" s="21" t="s">
        <v>644</v>
      </c>
      <c r="D358" s="21">
        <v>7000</v>
      </c>
      <c r="E358" s="21"/>
    </row>
    <row r="359" spans="1:5" ht="15.6" x14ac:dyDescent="0.3">
      <c r="A359" s="21" t="s">
        <v>645</v>
      </c>
      <c r="B359" s="21" t="s">
        <v>646</v>
      </c>
      <c r="C359" s="21" t="s">
        <v>53</v>
      </c>
      <c r="D359" s="29">
        <v>5500</v>
      </c>
      <c r="E359" s="21"/>
    </row>
    <row r="360" spans="1:5" ht="15.6" x14ac:dyDescent="0.3">
      <c r="A360" s="21" t="s">
        <v>647</v>
      </c>
      <c r="B360" s="21" t="s">
        <v>648</v>
      </c>
      <c r="C360" s="21" t="s">
        <v>53</v>
      </c>
      <c r="D360" s="29">
        <v>9000</v>
      </c>
      <c r="E360" s="21"/>
    </row>
    <row r="361" spans="1:5" ht="15.6" x14ac:dyDescent="0.3">
      <c r="A361" s="21" t="s">
        <v>649</v>
      </c>
      <c r="B361" s="21" t="s">
        <v>650</v>
      </c>
      <c r="C361" s="21" t="s">
        <v>53</v>
      </c>
      <c r="D361" s="29">
        <v>5500</v>
      </c>
      <c r="E361" s="21"/>
    </row>
    <row r="362" spans="1:5" ht="15.6" x14ac:dyDescent="0.3">
      <c r="A362" s="21" t="s">
        <v>651</v>
      </c>
      <c r="B362" s="21" t="s">
        <v>652</v>
      </c>
      <c r="C362" s="21" t="s">
        <v>53</v>
      </c>
      <c r="D362" s="29">
        <v>6000</v>
      </c>
      <c r="E362" s="21"/>
    </row>
    <row r="363" spans="1:5" ht="15.6" x14ac:dyDescent="0.3">
      <c r="A363" s="21" t="s">
        <v>653</v>
      </c>
      <c r="B363" s="21" t="s">
        <v>654</v>
      </c>
      <c r="C363" s="21" t="s">
        <v>53</v>
      </c>
      <c r="D363" s="29">
        <v>6000</v>
      </c>
      <c r="E363" s="21"/>
    </row>
    <row r="364" spans="1:5" ht="15.6" x14ac:dyDescent="0.3">
      <c r="A364" s="21" t="s">
        <v>655</v>
      </c>
      <c r="B364" s="21" t="s">
        <v>656</v>
      </c>
      <c r="C364" s="21" t="s">
        <v>53</v>
      </c>
      <c r="D364" s="35">
        <v>6000</v>
      </c>
      <c r="E364" s="21"/>
    </row>
    <row r="365" spans="1:5" ht="15.6" x14ac:dyDescent="0.3">
      <c r="A365" s="21" t="s">
        <v>591</v>
      </c>
      <c r="B365" s="21" t="s">
        <v>657</v>
      </c>
      <c r="C365" s="21" t="s">
        <v>64</v>
      </c>
      <c r="D365" s="35">
        <v>2000</v>
      </c>
      <c r="E365" s="21"/>
    </row>
    <row r="366" spans="1:5" ht="15.6" x14ac:dyDescent="0.3">
      <c r="A366" s="21" t="s">
        <v>658</v>
      </c>
      <c r="B366" s="28" t="s">
        <v>659</v>
      </c>
      <c r="C366" s="28" t="s">
        <v>53</v>
      </c>
      <c r="D366" s="35">
        <v>6000</v>
      </c>
      <c r="E366" s="21"/>
    </row>
    <row r="367" spans="1:5" ht="15.6" x14ac:dyDescent="0.3">
      <c r="A367" s="21" t="s">
        <v>660</v>
      </c>
      <c r="B367" s="21" t="s">
        <v>661</v>
      </c>
      <c r="C367" s="21" t="s">
        <v>53</v>
      </c>
      <c r="D367" s="35">
        <v>6000</v>
      </c>
      <c r="E367" s="21"/>
    </row>
    <row r="368" spans="1:5" ht="15.6" x14ac:dyDescent="0.3">
      <c r="A368" s="28" t="s">
        <v>662</v>
      </c>
      <c r="B368" s="28" t="s">
        <v>663</v>
      </c>
      <c r="C368" s="28" t="s">
        <v>53</v>
      </c>
      <c r="D368" s="29">
        <v>6000</v>
      </c>
      <c r="E368" s="21"/>
    </row>
    <row r="369" spans="1:5" ht="15.6" x14ac:dyDescent="0.3">
      <c r="A369" s="28" t="s">
        <v>664</v>
      </c>
      <c r="B369" s="28" t="s">
        <v>665</v>
      </c>
      <c r="C369" s="28" t="s">
        <v>53</v>
      </c>
      <c r="D369" s="21">
        <v>7000</v>
      </c>
      <c r="E369" s="21"/>
    </row>
    <row r="370" spans="1:5" ht="15.6" x14ac:dyDescent="0.3">
      <c r="A370" s="28" t="s">
        <v>666</v>
      </c>
      <c r="B370" s="28" t="s">
        <v>667</v>
      </c>
      <c r="C370" s="28" t="s">
        <v>53</v>
      </c>
      <c r="D370" s="21">
        <v>7000</v>
      </c>
      <c r="E370" s="21"/>
    </row>
    <row r="371" spans="1:5" ht="15.6" x14ac:dyDescent="0.3">
      <c r="A371" s="28" t="s">
        <v>668</v>
      </c>
      <c r="B371" s="28" t="s">
        <v>669</v>
      </c>
      <c r="C371" s="28" t="s">
        <v>53</v>
      </c>
      <c r="D371" s="29">
        <v>6000</v>
      </c>
      <c r="E371" s="21"/>
    </row>
    <row r="372" spans="1:5" ht="15.6" x14ac:dyDescent="0.3">
      <c r="A372" s="21" t="s">
        <v>670</v>
      </c>
      <c r="B372" s="21" t="s">
        <v>671</v>
      </c>
      <c r="C372" s="21" t="s">
        <v>53</v>
      </c>
      <c r="D372" s="29">
        <v>6000</v>
      </c>
      <c r="E372" s="21"/>
    </row>
    <row r="373" spans="1:5" ht="15.6" x14ac:dyDescent="0.3">
      <c r="A373" s="21" t="s">
        <v>672</v>
      </c>
      <c r="B373" s="21" t="s">
        <v>673</v>
      </c>
      <c r="C373" s="21" t="s">
        <v>53</v>
      </c>
      <c r="D373" s="21">
        <v>6000</v>
      </c>
      <c r="E373" s="21"/>
    </row>
    <row r="374" spans="1:5" ht="15.6" x14ac:dyDescent="0.3">
      <c r="A374" s="21" t="s">
        <v>642</v>
      </c>
      <c r="B374" s="28" t="s">
        <v>674</v>
      </c>
      <c r="C374" s="28" t="s">
        <v>53</v>
      </c>
      <c r="D374" s="21">
        <v>6000</v>
      </c>
      <c r="E374" s="21"/>
    </row>
    <row r="375" spans="1:5" ht="15.6" x14ac:dyDescent="0.3">
      <c r="A375" s="21" t="s">
        <v>675</v>
      </c>
      <c r="B375" s="21" t="s">
        <v>676</v>
      </c>
      <c r="C375" s="28" t="s">
        <v>53</v>
      </c>
      <c r="D375" s="21">
        <v>10000</v>
      </c>
      <c r="E375" s="21"/>
    </row>
    <row r="376" spans="1:5" ht="15.6" x14ac:dyDescent="0.3">
      <c r="A376" s="26"/>
      <c r="B376" s="21"/>
      <c r="C376" s="21"/>
      <c r="D376" s="21"/>
      <c r="E376" s="21"/>
    </row>
    <row r="377" spans="1:5" ht="15.6" x14ac:dyDescent="0.3">
      <c r="A377" s="26"/>
      <c r="B377" s="21"/>
      <c r="C377" s="21"/>
      <c r="D377" s="26"/>
      <c r="E377" s="21"/>
    </row>
    <row r="378" spans="1:5" ht="15.6" x14ac:dyDescent="0.3">
      <c r="A378" s="26"/>
      <c r="B378" s="21"/>
      <c r="C378" s="21"/>
      <c r="D378" s="26"/>
      <c r="E378" s="26"/>
    </row>
    <row r="379" spans="1:5" ht="15.6" x14ac:dyDescent="0.3">
      <c r="A379" s="26"/>
      <c r="B379" s="26"/>
      <c r="C379" s="26"/>
      <c r="D379" s="26"/>
      <c r="E379" s="26"/>
    </row>
    <row r="380" spans="1:5" ht="15.6" x14ac:dyDescent="0.3">
      <c r="A380" s="26"/>
      <c r="B380" s="26"/>
      <c r="C380" s="26"/>
      <c r="D380" s="26"/>
      <c r="E380" s="26"/>
    </row>
    <row r="381" spans="1:5" ht="15.6" x14ac:dyDescent="0.3">
      <c r="A381" s="26"/>
      <c r="B381" s="26"/>
      <c r="C381" s="26"/>
      <c r="D381" s="26"/>
      <c r="E381" s="26"/>
    </row>
    <row r="382" spans="1:5" ht="15.6" x14ac:dyDescent="0.3">
      <c r="A382" s="26"/>
      <c r="B382" s="26"/>
      <c r="C382" s="26"/>
      <c r="D382" s="26"/>
      <c r="E382" s="26"/>
    </row>
    <row r="383" spans="1:5" ht="15.6" x14ac:dyDescent="0.3">
      <c r="A383" s="26"/>
      <c r="B383" s="26"/>
      <c r="C383" s="26"/>
      <c r="D383" s="26"/>
      <c r="E383" s="26"/>
    </row>
    <row r="384" spans="1:5" ht="15.6" x14ac:dyDescent="0.3">
      <c r="A384" s="26"/>
      <c r="B384" s="26"/>
      <c r="C384" s="26"/>
      <c r="D384" s="26"/>
      <c r="E384" s="26"/>
    </row>
    <row r="385" spans="1:5" ht="15.6" x14ac:dyDescent="0.3">
      <c r="A385" s="26"/>
      <c r="B385" s="26"/>
      <c r="C385" s="26"/>
      <c r="D385" s="26"/>
      <c r="E385" s="21"/>
    </row>
    <row r="386" spans="1:5" ht="15.6" x14ac:dyDescent="0.3">
      <c r="A386" s="21">
        <v>8</v>
      </c>
      <c r="B386" s="36" t="s">
        <v>677</v>
      </c>
      <c r="C386" s="21"/>
      <c r="D386" s="21"/>
      <c r="E386" s="21"/>
    </row>
    <row r="387" spans="1:5" ht="15.6" x14ac:dyDescent="0.3">
      <c r="A387" s="21" t="s">
        <v>29</v>
      </c>
      <c r="B387" s="21" t="s">
        <v>678</v>
      </c>
      <c r="C387" s="21"/>
      <c r="D387" s="26"/>
      <c r="E387" s="21"/>
    </row>
    <row r="388" spans="1:5" ht="15.6" x14ac:dyDescent="0.3">
      <c r="A388" s="21" t="s">
        <v>3</v>
      </c>
      <c r="B388" s="21" t="s">
        <v>31</v>
      </c>
      <c r="C388" s="21" t="s">
        <v>32</v>
      </c>
      <c r="D388" s="21" t="s">
        <v>5</v>
      </c>
      <c r="E388" s="21"/>
    </row>
    <row r="389" spans="1:5" ht="15.6" x14ac:dyDescent="0.3">
      <c r="A389" s="21" t="s">
        <v>679</v>
      </c>
      <c r="B389" s="21" t="s">
        <v>680</v>
      </c>
      <c r="C389" s="21" t="s">
        <v>681</v>
      </c>
      <c r="D389" s="21">
        <v>14500</v>
      </c>
      <c r="E389" s="21"/>
    </row>
    <row r="390" spans="1:5" ht="15.6" x14ac:dyDescent="0.3">
      <c r="A390" s="21" t="s">
        <v>682</v>
      </c>
      <c r="B390" s="21" t="s">
        <v>683</v>
      </c>
      <c r="C390" s="24" t="s">
        <v>684</v>
      </c>
      <c r="D390" s="21">
        <v>20000</v>
      </c>
      <c r="E390" s="21"/>
    </row>
    <row r="391" spans="1:5" ht="15.6" x14ac:dyDescent="0.3">
      <c r="A391" s="21" t="s">
        <v>685</v>
      </c>
      <c r="B391" s="21" t="s">
        <v>686</v>
      </c>
      <c r="C391" s="21" t="s">
        <v>687</v>
      </c>
      <c r="D391" s="21">
        <v>8000</v>
      </c>
      <c r="E391" s="21"/>
    </row>
    <row r="392" spans="1:5" ht="15.6" x14ac:dyDescent="0.3">
      <c r="A392" s="21" t="s">
        <v>688</v>
      </c>
      <c r="B392" s="21" t="s">
        <v>689</v>
      </c>
      <c r="C392" s="21" t="s">
        <v>687</v>
      </c>
      <c r="D392" s="21">
        <v>7000</v>
      </c>
      <c r="E392" s="21"/>
    </row>
    <row r="393" spans="1:5" ht="15.6" x14ac:dyDescent="0.3">
      <c r="A393" s="21" t="s">
        <v>690</v>
      </c>
      <c r="B393" s="21" t="s">
        <v>691</v>
      </c>
      <c r="C393" s="21" t="s">
        <v>692</v>
      </c>
      <c r="D393" s="21">
        <v>6500</v>
      </c>
      <c r="E393" s="21"/>
    </row>
    <row r="394" spans="1:5" ht="15.6" x14ac:dyDescent="0.3">
      <c r="A394" s="21" t="s">
        <v>693</v>
      </c>
      <c r="B394" s="21" t="s">
        <v>694</v>
      </c>
      <c r="C394" s="21" t="s">
        <v>695</v>
      </c>
      <c r="D394" s="21">
        <v>10000</v>
      </c>
      <c r="E394" s="21"/>
    </row>
    <row r="395" spans="1:5" ht="15.6" x14ac:dyDescent="0.3">
      <c r="A395" s="21" t="s">
        <v>285</v>
      </c>
      <c r="B395" s="21" t="s">
        <v>696</v>
      </c>
      <c r="C395" s="21" t="s">
        <v>684</v>
      </c>
      <c r="D395" s="21">
        <v>20000</v>
      </c>
      <c r="E395" s="21"/>
    </row>
    <row r="396" spans="1:5" ht="15.6" x14ac:dyDescent="0.3">
      <c r="A396" s="21" t="s">
        <v>697</v>
      </c>
      <c r="B396" s="21" t="s">
        <v>698</v>
      </c>
      <c r="C396" s="21" t="s">
        <v>699</v>
      </c>
      <c r="D396" s="21">
        <v>10000</v>
      </c>
      <c r="E396" s="21"/>
    </row>
    <row r="397" spans="1:5" ht="15.6" x14ac:dyDescent="0.3">
      <c r="A397" s="21" t="s">
        <v>700</v>
      </c>
      <c r="B397" s="21" t="s">
        <v>701</v>
      </c>
      <c r="C397" s="21" t="s">
        <v>702</v>
      </c>
      <c r="D397" s="21">
        <v>12500</v>
      </c>
      <c r="E397" s="21"/>
    </row>
    <row r="398" spans="1:5" ht="109.2" x14ac:dyDescent="0.3">
      <c r="A398" s="21" t="s">
        <v>703</v>
      </c>
      <c r="B398" s="27" t="s">
        <v>704</v>
      </c>
      <c r="C398" s="21" t="s">
        <v>452</v>
      </c>
      <c r="D398" s="21">
        <v>13000</v>
      </c>
      <c r="E398" s="21"/>
    </row>
    <row r="399" spans="1:5" ht="140.4" x14ac:dyDescent="0.3">
      <c r="A399" s="21" t="s">
        <v>705</v>
      </c>
      <c r="B399" s="27" t="s">
        <v>706</v>
      </c>
      <c r="C399" s="21" t="s">
        <v>452</v>
      </c>
      <c r="D399" s="21">
        <v>16800</v>
      </c>
      <c r="E399" s="21"/>
    </row>
    <row r="400" spans="1:5" ht="187.2" x14ac:dyDescent="0.3">
      <c r="A400" s="21" t="s">
        <v>18</v>
      </c>
      <c r="B400" s="27" t="s">
        <v>707</v>
      </c>
      <c r="C400" s="21" t="s">
        <v>708</v>
      </c>
      <c r="D400" s="21">
        <v>14500</v>
      </c>
      <c r="E400" s="21"/>
    </row>
    <row r="401" spans="1:5" ht="15.6" x14ac:dyDescent="0.3">
      <c r="A401" s="21" t="s">
        <v>709</v>
      </c>
      <c r="B401" s="21" t="s">
        <v>710</v>
      </c>
      <c r="C401" s="21" t="s">
        <v>460</v>
      </c>
      <c r="D401" s="21">
        <v>4800</v>
      </c>
      <c r="E401" s="21"/>
    </row>
    <row r="402" spans="1:5" ht="15.6" x14ac:dyDescent="0.3">
      <c r="A402" s="21" t="s">
        <v>711</v>
      </c>
      <c r="B402" s="21" t="s">
        <v>712</v>
      </c>
      <c r="C402" s="21" t="s">
        <v>713</v>
      </c>
      <c r="D402" s="21">
        <v>10500</v>
      </c>
      <c r="E402" s="21"/>
    </row>
    <row r="403" spans="1:5" ht="15.6" x14ac:dyDescent="0.3">
      <c r="A403" s="21" t="s">
        <v>714</v>
      </c>
      <c r="B403" s="21" t="s">
        <v>715</v>
      </c>
      <c r="C403" s="21" t="s">
        <v>713</v>
      </c>
      <c r="D403" s="21">
        <v>15000</v>
      </c>
      <c r="E403" s="21"/>
    </row>
    <row r="404" spans="1:5" ht="15.6" x14ac:dyDescent="0.3">
      <c r="A404" s="21" t="s">
        <v>716</v>
      </c>
      <c r="B404" s="21" t="s">
        <v>717</v>
      </c>
      <c r="C404" s="21" t="s">
        <v>32</v>
      </c>
      <c r="D404" s="21">
        <v>7000</v>
      </c>
      <c r="E404" s="21"/>
    </row>
    <row r="405" spans="1:5" ht="15.6" x14ac:dyDescent="0.3">
      <c r="A405" s="21" t="s">
        <v>718</v>
      </c>
      <c r="B405" s="21" t="s">
        <v>719</v>
      </c>
      <c r="C405" s="21" t="s">
        <v>32</v>
      </c>
      <c r="D405" s="21">
        <v>8000</v>
      </c>
      <c r="E405" s="21"/>
    </row>
    <row r="406" spans="1:5" ht="15.6" x14ac:dyDescent="0.3">
      <c r="A406" s="21" t="s">
        <v>720</v>
      </c>
      <c r="B406" s="21" t="s">
        <v>721</v>
      </c>
      <c r="C406" s="21" t="s">
        <v>32</v>
      </c>
      <c r="D406" s="21">
        <v>9000</v>
      </c>
      <c r="E406" s="21"/>
    </row>
    <row r="407" spans="1:5" ht="15.6" x14ac:dyDescent="0.3">
      <c r="A407" s="21" t="s">
        <v>722</v>
      </c>
      <c r="B407" s="21" t="s">
        <v>723</v>
      </c>
      <c r="C407" s="21" t="s">
        <v>32</v>
      </c>
      <c r="D407" s="21">
        <v>8500</v>
      </c>
      <c r="E407" s="21"/>
    </row>
    <row r="408" spans="1:5" ht="15.6" x14ac:dyDescent="0.3">
      <c r="A408" s="21" t="s">
        <v>724</v>
      </c>
      <c r="B408" s="21" t="s">
        <v>725</v>
      </c>
      <c r="C408" s="21" t="s">
        <v>32</v>
      </c>
      <c r="D408" s="21">
        <v>11000</v>
      </c>
      <c r="E408" s="21"/>
    </row>
    <row r="409" spans="1:5" ht="15.6" x14ac:dyDescent="0.3">
      <c r="A409" s="21" t="s">
        <v>726</v>
      </c>
      <c r="B409" s="21" t="s">
        <v>727</v>
      </c>
      <c r="C409" s="21" t="s">
        <v>32</v>
      </c>
      <c r="D409" s="21">
        <v>11000</v>
      </c>
      <c r="E409" s="21"/>
    </row>
    <row r="410" spans="1:5" ht="15.6" x14ac:dyDescent="0.3">
      <c r="A410" s="21"/>
      <c r="B410" s="21"/>
      <c r="C410" s="21"/>
      <c r="D410" s="21"/>
      <c r="E410" s="21"/>
    </row>
    <row r="411" spans="1:5" ht="15.6" x14ac:dyDescent="0.3">
      <c r="A411" s="21"/>
      <c r="B411" s="21"/>
      <c r="C411" s="21"/>
      <c r="D411" s="21"/>
      <c r="E411" s="21"/>
    </row>
    <row r="412" spans="1:5" ht="15.6" x14ac:dyDescent="0.3">
      <c r="A412" s="26"/>
      <c r="B412" s="21"/>
      <c r="C412" s="21"/>
      <c r="D412" s="26"/>
      <c r="E412" s="21"/>
    </row>
    <row r="413" spans="1:5" ht="15.6" x14ac:dyDescent="0.3">
      <c r="A413" s="26"/>
      <c r="B413" s="21"/>
      <c r="C413" s="21"/>
      <c r="D413" s="26"/>
      <c r="E413" s="21"/>
    </row>
    <row r="414" spans="1:5" ht="15.6" x14ac:dyDescent="0.3">
      <c r="A414" s="21">
        <v>9</v>
      </c>
      <c r="B414" s="21" t="s">
        <v>728</v>
      </c>
      <c r="C414" s="21"/>
      <c r="D414" s="21"/>
      <c r="E414" s="21"/>
    </row>
    <row r="415" spans="1:5" ht="15.6" x14ac:dyDescent="0.3">
      <c r="A415" s="21" t="s">
        <v>29</v>
      </c>
      <c r="B415" s="21" t="s">
        <v>729</v>
      </c>
      <c r="C415" s="21"/>
      <c r="D415" s="26"/>
      <c r="E415" s="21"/>
    </row>
    <row r="416" spans="1:5" ht="15.6" x14ac:dyDescent="0.3">
      <c r="A416" s="21" t="s">
        <v>3</v>
      </c>
      <c r="B416" s="21" t="s">
        <v>31</v>
      </c>
      <c r="C416" s="21" t="s">
        <v>32</v>
      </c>
      <c r="D416" s="21" t="s">
        <v>5</v>
      </c>
      <c r="E416" s="21"/>
    </row>
    <row r="417" spans="1:5" ht="15.6" x14ac:dyDescent="0.3">
      <c r="A417" s="21" t="s">
        <v>13</v>
      </c>
      <c r="B417" s="21" t="s">
        <v>730</v>
      </c>
      <c r="C417" s="21" t="s">
        <v>32</v>
      </c>
      <c r="D417" s="21">
        <v>400</v>
      </c>
      <c r="E417" s="21"/>
    </row>
    <row r="418" spans="1:5" ht="15.6" x14ac:dyDescent="0.3">
      <c r="A418" s="21" t="s">
        <v>731</v>
      </c>
      <c r="B418" s="21" t="s">
        <v>732</v>
      </c>
      <c r="C418" s="21" t="s">
        <v>733</v>
      </c>
      <c r="D418" s="21">
        <v>12000</v>
      </c>
      <c r="E418" s="21"/>
    </row>
    <row r="419" spans="1:5" ht="15.6" x14ac:dyDescent="0.3">
      <c r="A419" s="21" t="s">
        <v>9</v>
      </c>
      <c r="B419" s="21" t="s">
        <v>734</v>
      </c>
      <c r="C419" s="21" t="s">
        <v>32</v>
      </c>
      <c r="D419" s="21">
        <v>2500</v>
      </c>
      <c r="E419" s="21"/>
    </row>
    <row r="420" spans="1:5" ht="15.6" x14ac:dyDescent="0.3">
      <c r="A420" s="37" t="s">
        <v>735</v>
      </c>
      <c r="B420" s="37" t="s">
        <v>736</v>
      </c>
      <c r="C420" s="37" t="s">
        <v>391</v>
      </c>
      <c r="D420" s="21">
        <v>9500</v>
      </c>
      <c r="E420" s="21"/>
    </row>
    <row r="421" spans="1:5" ht="15.6" x14ac:dyDescent="0.3">
      <c r="A421" s="37" t="s">
        <v>20</v>
      </c>
      <c r="B421" s="37" t="s">
        <v>737</v>
      </c>
      <c r="C421" s="37" t="s">
        <v>738</v>
      </c>
      <c r="D421" s="21">
        <v>15000</v>
      </c>
      <c r="E421" s="21"/>
    </row>
    <row r="422" spans="1:5" ht="15.6" x14ac:dyDescent="0.3">
      <c r="A422" s="37" t="s">
        <v>20</v>
      </c>
      <c r="B422" s="37" t="s">
        <v>739</v>
      </c>
      <c r="C422" s="37" t="s">
        <v>740</v>
      </c>
      <c r="D422" s="21">
        <v>15500</v>
      </c>
      <c r="E422" s="21"/>
    </row>
    <row r="423" spans="1:5" ht="15.6" x14ac:dyDescent="0.3">
      <c r="A423" s="37" t="s">
        <v>20</v>
      </c>
      <c r="B423" s="37" t="s">
        <v>741</v>
      </c>
      <c r="C423" s="37" t="s">
        <v>742</v>
      </c>
      <c r="D423" s="21">
        <v>15500</v>
      </c>
      <c r="E423" s="21"/>
    </row>
    <row r="424" spans="1:5" ht="15.6" x14ac:dyDescent="0.3">
      <c r="A424" s="37" t="s">
        <v>743</v>
      </c>
      <c r="B424" s="37" t="s">
        <v>744</v>
      </c>
      <c r="C424" s="37" t="s">
        <v>745</v>
      </c>
      <c r="D424" s="21">
        <v>17300</v>
      </c>
      <c r="E424" s="21"/>
    </row>
    <row r="425" spans="1:5" ht="15.6" x14ac:dyDescent="0.3">
      <c r="A425" s="37" t="s">
        <v>743</v>
      </c>
      <c r="B425" s="37" t="s">
        <v>744</v>
      </c>
      <c r="C425" s="37" t="s">
        <v>746</v>
      </c>
      <c r="D425" s="21">
        <v>17500</v>
      </c>
      <c r="E425" s="21"/>
    </row>
    <row r="426" spans="1:5" ht="15.6" x14ac:dyDescent="0.3">
      <c r="A426" s="37" t="s">
        <v>747</v>
      </c>
      <c r="B426" s="37" t="s">
        <v>748</v>
      </c>
      <c r="C426" s="37" t="s">
        <v>749</v>
      </c>
      <c r="D426" s="21">
        <v>12000</v>
      </c>
      <c r="E426" s="21"/>
    </row>
    <row r="427" spans="1:5" ht="15.6" x14ac:dyDescent="0.3">
      <c r="A427" s="32" t="s">
        <v>750</v>
      </c>
      <c r="B427" s="32" t="s">
        <v>751</v>
      </c>
      <c r="C427" s="32" t="s">
        <v>32</v>
      </c>
      <c r="D427" s="21">
        <v>16000</v>
      </c>
      <c r="E427" s="21"/>
    </row>
    <row r="428" spans="1:5" ht="15.6" x14ac:dyDescent="0.3">
      <c r="A428" s="21" t="s">
        <v>752</v>
      </c>
      <c r="B428" s="21" t="s">
        <v>753</v>
      </c>
      <c r="C428" s="21" t="s">
        <v>32</v>
      </c>
      <c r="D428" s="21">
        <v>19500</v>
      </c>
      <c r="E428" s="21"/>
    </row>
    <row r="429" spans="1:5" ht="15.6" x14ac:dyDescent="0.3">
      <c r="A429" s="21" t="s">
        <v>79</v>
      </c>
      <c r="B429" s="21" t="s">
        <v>754</v>
      </c>
      <c r="C429" s="21" t="s">
        <v>755</v>
      </c>
      <c r="D429" s="21">
        <v>12000</v>
      </c>
      <c r="E429" s="21"/>
    </row>
    <row r="430" spans="1:5" ht="15.6" x14ac:dyDescent="0.3">
      <c r="A430" s="21" t="s">
        <v>79</v>
      </c>
      <c r="B430" s="21" t="s">
        <v>754</v>
      </c>
      <c r="C430" s="21" t="s">
        <v>756</v>
      </c>
      <c r="D430" s="21">
        <v>6000</v>
      </c>
      <c r="E430" s="21"/>
    </row>
    <row r="431" spans="1:5" ht="15.6" x14ac:dyDescent="0.3">
      <c r="A431" s="37" t="s">
        <v>19</v>
      </c>
      <c r="B431" s="37" t="s">
        <v>630</v>
      </c>
      <c r="C431" s="37" t="s">
        <v>631</v>
      </c>
      <c r="D431" s="21">
        <v>7000</v>
      </c>
      <c r="E431" s="21"/>
    </row>
    <row r="432" spans="1:5" ht="15.6" x14ac:dyDescent="0.3">
      <c r="A432" s="37" t="s">
        <v>19</v>
      </c>
      <c r="B432" s="37" t="s">
        <v>632</v>
      </c>
      <c r="C432" s="37" t="s">
        <v>633</v>
      </c>
      <c r="D432" s="21">
        <v>12000</v>
      </c>
      <c r="E432" s="21"/>
    </row>
    <row r="433" spans="1:5" ht="15.6" x14ac:dyDescent="0.3">
      <c r="A433" s="21" t="s">
        <v>757</v>
      </c>
      <c r="B433" s="21" t="s">
        <v>758</v>
      </c>
      <c r="C433" s="21" t="s">
        <v>759</v>
      </c>
      <c r="D433" s="21">
        <v>12000</v>
      </c>
      <c r="E433" s="21"/>
    </row>
    <row r="434" spans="1:5" ht="15.6" x14ac:dyDescent="0.3">
      <c r="A434" s="21" t="s">
        <v>760</v>
      </c>
      <c r="B434" s="21" t="s">
        <v>761</v>
      </c>
      <c r="C434" s="21" t="s">
        <v>613</v>
      </c>
      <c r="D434" s="21">
        <v>5500</v>
      </c>
      <c r="E434" s="21"/>
    </row>
    <row r="435" spans="1:5" ht="15.6" x14ac:dyDescent="0.3">
      <c r="A435" s="21" t="s">
        <v>762</v>
      </c>
      <c r="B435" s="21" t="s">
        <v>763</v>
      </c>
      <c r="C435" s="21" t="s">
        <v>613</v>
      </c>
      <c r="D435" s="21">
        <v>3500</v>
      </c>
      <c r="E435" s="21"/>
    </row>
    <row r="436" spans="1:5" ht="15.6" x14ac:dyDescent="0.3">
      <c r="A436" s="21" t="s">
        <v>764</v>
      </c>
      <c r="B436" s="21" t="s">
        <v>765</v>
      </c>
      <c r="C436" s="21" t="s">
        <v>613</v>
      </c>
      <c r="D436" s="21">
        <v>4000</v>
      </c>
      <c r="E436" s="21"/>
    </row>
    <row r="437" spans="1:5" ht="15.6" x14ac:dyDescent="0.3">
      <c r="A437" s="21" t="s">
        <v>766</v>
      </c>
      <c r="B437" s="21" t="s">
        <v>767</v>
      </c>
      <c r="C437" s="21" t="s">
        <v>613</v>
      </c>
      <c r="D437" s="21">
        <v>3000</v>
      </c>
      <c r="E437" s="21"/>
    </row>
    <row r="438" spans="1:5" ht="15.6" x14ac:dyDescent="0.3">
      <c r="A438" s="21" t="s">
        <v>768</v>
      </c>
      <c r="B438" s="21" t="s">
        <v>769</v>
      </c>
      <c r="C438" s="21" t="s">
        <v>770</v>
      </c>
      <c r="D438" s="21">
        <v>2500</v>
      </c>
      <c r="E438" s="21"/>
    </row>
    <row r="439" spans="1:5" ht="15.6" x14ac:dyDescent="0.3">
      <c r="A439" s="26"/>
      <c r="B439" s="21"/>
      <c r="C439" s="21"/>
      <c r="D439" s="21"/>
      <c r="E439" s="21"/>
    </row>
    <row r="440" spans="1:5" ht="15.6" x14ac:dyDescent="0.3">
      <c r="A440" s="26"/>
      <c r="B440" s="21"/>
      <c r="C440" s="21"/>
      <c r="D440" s="26"/>
      <c r="E440" s="21"/>
    </row>
    <row r="441" spans="1:5" ht="15.6" x14ac:dyDescent="0.3">
      <c r="A441" s="21">
        <v>10</v>
      </c>
      <c r="B441" s="21" t="s">
        <v>771</v>
      </c>
      <c r="C441" s="21"/>
      <c r="D441" s="26"/>
      <c r="E441" s="21"/>
    </row>
    <row r="442" spans="1:5" ht="15.6" x14ac:dyDescent="0.3">
      <c r="A442" s="21" t="s">
        <v>29</v>
      </c>
      <c r="B442" s="21" t="s">
        <v>772</v>
      </c>
      <c r="C442" s="21"/>
      <c r="D442" s="26"/>
      <c r="E442" s="21"/>
    </row>
    <row r="443" spans="1:5" ht="15.6" x14ac:dyDescent="0.3">
      <c r="A443" s="21" t="s">
        <v>3</v>
      </c>
      <c r="B443" s="21" t="s">
        <v>31</v>
      </c>
      <c r="C443" s="21" t="s">
        <v>32</v>
      </c>
      <c r="D443" s="21" t="s">
        <v>5</v>
      </c>
      <c r="E443" s="21"/>
    </row>
    <row r="444" spans="1:5" ht="15.6" x14ac:dyDescent="0.3">
      <c r="A444" s="21" t="s">
        <v>773</v>
      </c>
      <c r="B444" s="32" t="s">
        <v>774</v>
      </c>
      <c r="C444" s="21" t="s">
        <v>770</v>
      </c>
      <c r="D444" s="32">
        <v>6700</v>
      </c>
      <c r="E444" s="26"/>
    </row>
    <row r="445" spans="1:5" ht="15.6" x14ac:dyDescent="0.3">
      <c r="A445" s="21" t="s">
        <v>775</v>
      </c>
      <c r="B445" s="32" t="s">
        <v>776</v>
      </c>
      <c r="C445" s="21" t="s">
        <v>770</v>
      </c>
      <c r="D445" s="32">
        <v>7200</v>
      </c>
      <c r="E445" s="26"/>
    </row>
    <row r="446" spans="1:5" ht="15.6" x14ac:dyDescent="0.3">
      <c r="A446" s="21" t="s">
        <v>777</v>
      </c>
      <c r="B446" s="32" t="s">
        <v>778</v>
      </c>
      <c r="C446" s="21" t="s">
        <v>770</v>
      </c>
      <c r="D446" s="32">
        <v>7200</v>
      </c>
      <c r="E446" s="26"/>
    </row>
    <row r="447" spans="1:5" ht="15.6" x14ac:dyDescent="0.3">
      <c r="A447" s="21" t="s">
        <v>779</v>
      </c>
      <c r="B447" s="32" t="s">
        <v>780</v>
      </c>
      <c r="C447" s="21" t="s">
        <v>770</v>
      </c>
      <c r="D447" s="32">
        <v>6700</v>
      </c>
      <c r="E447" s="26"/>
    </row>
    <row r="448" spans="1:5" ht="15.6" x14ac:dyDescent="0.3">
      <c r="A448" s="21" t="s">
        <v>781</v>
      </c>
      <c r="B448" s="32" t="s">
        <v>782</v>
      </c>
      <c r="C448" s="21" t="s">
        <v>770</v>
      </c>
      <c r="D448" s="32">
        <v>7800</v>
      </c>
      <c r="E448" s="26"/>
    </row>
    <row r="449" spans="1:5" ht="15.6" x14ac:dyDescent="0.3">
      <c r="A449" s="21" t="s">
        <v>783</v>
      </c>
      <c r="B449" s="32" t="s">
        <v>784</v>
      </c>
      <c r="C449" s="21" t="s">
        <v>770</v>
      </c>
      <c r="D449" s="32">
        <v>6700</v>
      </c>
      <c r="E449" s="26"/>
    </row>
    <row r="450" spans="1:5" ht="15.6" x14ac:dyDescent="0.3">
      <c r="A450" s="21" t="s">
        <v>785</v>
      </c>
      <c r="B450" s="32" t="s">
        <v>786</v>
      </c>
      <c r="C450" s="21" t="s">
        <v>770</v>
      </c>
      <c r="D450" s="32">
        <v>6700</v>
      </c>
      <c r="E450" s="26"/>
    </row>
    <row r="451" spans="1:5" ht="15.6" x14ac:dyDescent="0.3">
      <c r="A451" s="21" t="s">
        <v>787</v>
      </c>
      <c r="B451" s="32" t="s">
        <v>788</v>
      </c>
      <c r="C451" s="21" t="s">
        <v>770</v>
      </c>
      <c r="D451" s="32">
        <v>6700</v>
      </c>
      <c r="E451" s="26"/>
    </row>
    <row r="452" spans="1:5" ht="15.6" x14ac:dyDescent="0.3">
      <c r="A452" s="21" t="s">
        <v>789</v>
      </c>
      <c r="B452" s="32" t="s">
        <v>790</v>
      </c>
      <c r="C452" s="21" t="s">
        <v>770</v>
      </c>
      <c r="D452" s="32">
        <v>8300</v>
      </c>
      <c r="E452" s="26"/>
    </row>
    <row r="453" spans="1:5" ht="15.6" x14ac:dyDescent="0.3">
      <c r="A453" s="21" t="s">
        <v>791</v>
      </c>
      <c r="B453" s="32" t="s">
        <v>792</v>
      </c>
      <c r="C453" s="21" t="s">
        <v>770</v>
      </c>
      <c r="D453" s="32">
        <v>6200</v>
      </c>
      <c r="E453" s="26"/>
    </row>
    <row r="454" spans="1:5" ht="15.6" x14ac:dyDescent="0.3">
      <c r="A454" s="21" t="s">
        <v>793</v>
      </c>
      <c r="B454" s="32" t="s">
        <v>794</v>
      </c>
      <c r="C454" s="21" t="s">
        <v>770</v>
      </c>
      <c r="D454" s="32">
        <v>6200</v>
      </c>
      <c r="E454" s="26"/>
    </row>
    <row r="455" spans="1:5" ht="15.6" x14ac:dyDescent="0.3">
      <c r="A455" s="21" t="s">
        <v>795</v>
      </c>
      <c r="B455" s="32" t="s">
        <v>796</v>
      </c>
      <c r="C455" s="21" t="s">
        <v>770</v>
      </c>
      <c r="D455" s="32">
        <v>7800</v>
      </c>
      <c r="E455" s="26"/>
    </row>
    <row r="456" spans="1:5" ht="15.6" x14ac:dyDescent="0.3">
      <c r="A456" s="21" t="s">
        <v>797</v>
      </c>
      <c r="B456" s="32" t="s">
        <v>798</v>
      </c>
      <c r="C456" s="21" t="s">
        <v>770</v>
      </c>
      <c r="D456" s="32">
        <v>6700</v>
      </c>
      <c r="E456" s="26"/>
    </row>
    <row r="457" spans="1:5" ht="15.6" x14ac:dyDescent="0.3">
      <c r="A457" s="21" t="s">
        <v>799</v>
      </c>
      <c r="B457" s="32" t="s">
        <v>800</v>
      </c>
      <c r="C457" s="21" t="s">
        <v>770</v>
      </c>
      <c r="D457" s="32">
        <v>7200</v>
      </c>
      <c r="E457" s="26"/>
    </row>
    <row r="458" spans="1:5" ht="15.6" x14ac:dyDescent="0.3">
      <c r="A458" s="21" t="s">
        <v>801</v>
      </c>
      <c r="B458" s="32" t="s">
        <v>802</v>
      </c>
      <c r="C458" s="21" t="s">
        <v>770</v>
      </c>
      <c r="D458" s="32">
        <v>6700</v>
      </c>
      <c r="E458" s="26"/>
    </row>
    <row r="459" spans="1:5" ht="15.6" x14ac:dyDescent="0.3">
      <c r="A459" s="21" t="s">
        <v>803</v>
      </c>
      <c r="B459" s="32" t="s">
        <v>804</v>
      </c>
      <c r="C459" s="21" t="s">
        <v>770</v>
      </c>
      <c r="D459" s="32">
        <v>6700</v>
      </c>
      <c r="E459" s="26"/>
    </row>
    <row r="460" spans="1:5" ht="15.6" x14ac:dyDescent="0.3">
      <c r="A460" s="21" t="s">
        <v>805</v>
      </c>
      <c r="B460" s="32" t="s">
        <v>806</v>
      </c>
      <c r="C460" s="21" t="s">
        <v>770</v>
      </c>
      <c r="D460" s="32">
        <v>6700</v>
      </c>
      <c r="E460" s="26"/>
    </row>
    <row r="461" spans="1:5" ht="15.6" x14ac:dyDescent="0.3">
      <c r="A461" s="21" t="s">
        <v>807</v>
      </c>
      <c r="B461" s="32" t="s">
        <v>808</v>
      </c>
      <c r="C461" s="21" t="s">
        <v>770</v>
      </c>
      <c r="D461" s="32">
        <v>6700</v>
      </c>
      <c r="E461" s="26"/>
    </row>
    <row r="462" spans="1:5" ht="15.6" x14ac:dyDescent="0.3">
      <c r="A462" s="21" t="s">
        <v>809</v>
      </c>
      <c r="B462" s="32" t="s">
        <v>810</v>
      </c>
      <c r="C462" s="21" t="s">
        <v>770</v>
      </c>
      <c r="D462" s="32">
        <v>6700</v>
      </c>
      <c r="E462" s="26"/>
    </row>
    <row r="463" spans="1:5" ht="15.6" x14ac:dyDescent="0.3">
      <c r="A463" s="21" t="s">
        <v>811</v>
      </c>
      <c r="B463" s="32" t="s">
        <v>812</v>
      </c>
      <c r="C463" s="21" t="s">
        <v>770</v>
      </c>
      <c r="D463" s="32">
        <v>6700</v>
      </c>
      <c r="E463" s="26"/>
    </row>
    <row r="464" spans="1:5" ht="15.6" x14ac:dyDescent="0.3">
      <c r="A464" s="21" t="s">
        <v>813</v>
      </c>
      <c r="B464" s="32" t="s">
        <v>814</v>
      </c>
      <c r="C464" s="21" t="s">
        <v>770</v>
      </c>
      <c r="D464" s="32">
        <v>7800</v>
      </c>
      <c r="E464" s="26"/>
    </row>
    <row r="465" spans="1:10" ht="15.6" x14ac:dyDescent="0.3">
      <c r="A465" s="21" t="s">
        <v>815</v>
      </c>
      <c r="B465" s="32" t="s">
        <v>816</v>
      </c>
      <c r="C465" s="21" t="s">
        <v>770</v>
      </c>
      <c r="D465" s="32">
        <v>7200</v>
      </c>
      <c r="E465" s="26"/>
    </row>
    <row r="466" spans="1:10" ht="15.6" x14ac:dyDescent="0.3">
      <c r="A466" s="21" t="s">
        <v>817</v>
      </c>
      <c r="B466" s="32" t="s">
        <v>818</v>
      </c>
      <c r="C466" s="21" t="s">
        <v>770</v>
      </c>
      <c r="D466" s="32">
        <v>7200</v>
      </c>
      <c r="E466" s="26"/>
    </row>
    <row r="467" spans="1:10" ht="15.6" x14ac:dyDescent="0.3">
      <c r="A467" s="21" t="s">
        <v>819</v>
      </c>
      <c r="B467" s="32" t="s">
        <v>820</v>
      </c>
      <c r="C467" s="21" t="s">
        <v>770</v>
      </c>
      <c r="D467" s="32">
        <v>7800</v>
      </c>
      <c r="E467" s="21"/>
    </row>
    <row r="468" spans="1:10" ht="15.6" x14ac:dyDescent="0.3">
      <c r="A468" s="21" t="s">
        <v>821</v>
      </c>
      <c r="B468" s="32" t="s">
        <v>822</v>
      </c>
      <c r="C468" s="21" t="s">
        <v>770</v>
      </c>
      <c r="D468" s="32">
        <v>7200</v>
      </c>
      <c r="E468" s="21"/>
    </row>
    <row r="469" spans="1:10" ht="15.6" x14ac:dyDescent="0.3">
      <c r="A469" s="21" t="s">
        <v>823</v>
      </c>
      <c r="B469" s="32" t="s">
        <v>824</v>
      </c>
      <c r="C469" s="21" t="s">
        <v>770</v>
      </c>
      <c r="D469" s="32">
        <v>7200</v>
      </c>
      <c r="E469" s="21"/>
    </row>
    <row r="470" spans="1:10" ht="15.6" x14ac:dyDescent="0.3">
      <c r="A470" s="21" t="s">
        <v>825</v>
      </c>
      <c r="B470" s="32" t="s">
        <v>826</v>
      </c>
      <c r="C470" s="21" t="s">
        <v>770</v>
      </c>
      <c r="D470" s="32">
        <v>7800</v>
      </c>
      <c r="E470" s="21"/>
    </row>
    <row r="471" spans="1:10" ht="15.6" x14ac:dyDescent="0.3">
      <c r="A471" s="21" t="s">
        <v>827</v>
      </c>
      <c r="B471" s="32" t="s">
        <v>828</v>
      </c>
      <c r="C471" s="21" t="s">
        <v>770</v>
      </c>
      <c r="D471" s="32">
        <v>7200</v>
      </c>
      <c r="E471" s="21"/>
    </row>
    <row r="472" spans="1:10" ht="15.6" x14ac:dyDescent="0.3">
      <c r="A472" s="21" t="s">
        <v>829</v>
      </c>
      <c r="B472" s="32" t="s">
        <v>830</v>
      </c>
      <c r="C472" s="21" t="s">
        <v>770</v>
      </c>
      <c r="D472" s="32">
        <v>6700</v>
      </c>
      <c r="E472" s="21"/>
      <c r="F472" s="38"/>
      <c r="G472" s="38"/>
      <c r="H472" s="38"/>
      <c r="I472" s="38"/>
      <c r="J472" s="38"/>
    </row>
    <row r="473" spans="1:10" ht="15.6" x14ac:dyDescent="0.3">
      <c r="A473" s="21" t="s">
        <v>831</v>
      </c>
      <c r="B473" s="32" t="s">
        <v>832</v>
      </c>
      <c r="C473" s="21" t="s">
        <v>770</v>
      </c>
      <c r="D473" s="32">
        <v>6700</v>
      </c>
      <c r="E473" s="26"/>
      <c r="F473" s="38"/>
      <c r="G473" s="38"/>
      <c r="H473" s="38"/>
      <c r="I473" s="38"/>
      <c r="J473" s="38"/>
    </row>
    <row r="474" spans="1:10" ht="15.6" x14ac:dyDescent="0.3">
      <c r="A474" s="21" t="s">
        <v>833</v>
      </c>
      <c r="B474" s="32" t="s">
        <v>834</v>
      </c>
      <c r="C474" s="21" t="s">
        <v>770</v>
      </c>
      <c r="D474" s="32">
        <v>6700</v>
      </c>
      <c r="E474" s="26"/>
      <c r="F474" s="38"/>
      <c r="G474" s="38"/>
      <c r="H474" s="38"/>
      <c r="I474" s="38"/>
      <c r="J474" s="38"/>
    </row>
    <row r="475" spans="1:10" ht="15.6" x14ac:dyDescent="0.3">
      <c r="A475" s="21" t="s">
        <v>835</v>
      </c>
      <c r="B475" s="32" t="s">
        <v>836</v>
      </c>
      <c r="C475" s="21" t="s">
        <v>770</v>
      </c>
      <c r="D475" s="32">
        <v>8300</v>
      </c>
      <c r="E475" s="21"/>
      <c r="F475" s="38"/>
      <c r="G475" s="38"/>
      <c r="H475" s="38"/>
      <c r="I475" s="38"/>
      <c r="J475" s="38"/>
    </row>
    <row r="476" spans="1:10" ht="15.6" x14ac:dyDescent="0.3">
      <c r="A476" s="21" t="s">
        <v>837</v>
      </c>
      <c r="B476" s="32" t="s">
        <v>838</v>
      </c>
      <c r="C476" s="21" t="s">
        <v>770</v>
      </c>
      <c r="D476" s="32">
        <v>6700</v>
      </c>
      <c r="E476" s="21"/>
    </row>
    <row r="477" spans="1:10" ht="15.6" x14ac:dyDescent="0.3">
      <c r="A477" s="21" t="s">
        <v>839</v>
      </c>
      <c r="B477" s="21" t="s">
        <v>840</v>
      </c>
      <c r="C477" s="21" t="s">
        <v>770</v>
      </c>
      <c r="D477" s="21">
        <v>6500</v>
      </c>
      <c r="E477" s="21"/>
    </row>
    <row r="478" spans="1:10" ht="15.6" x14ac:dyDescent="0.3">
      <c r="A478" s="21" t="s">
        <v>841</v>
      </c>
      <c r="B478" s="21" t="s">
        <v>842</v>
      </c>
      <c r="C478" s="21" t="s">
        <v>770</v>
      </c>
      <c r="D478" s="21">
        <v>6500</v>
      </c>
      <c r="E478" s="21"/>
    </row>
    <row r="479" spans="1:10" ht="15.6" x14ac:dyDescent="0.3">
      <c r="A479" s="21" t="s">
        <v>843</v>
      </c>
      <c r="B479" s="21" t="s">
        <v>844</v>
      </c>
      <c r="C479" s="21" t="s">
        <v>770</v>
      </c>
      <c r="D479" s="21">
        <v>7500</v>
      </c>
      <c r="E479" s="21"/>
    </row>
    <row r="480" spans="1:10" ht="15.6" x14ac:dyDescent="0.3">
      <c r="A480" s="21" t="s">
        <v>845</v>
      </c>
      <c r="B480" s="21" t="s">
        <v>846</v>
      </c>
      <c r="C480" s="21" t="s">
        <v>770</v>
      </c>
      <c r="D480" s="21">
        <v>6500</v>
      </c>
      <c r="E480" s="21"/>
    </row>
    <row r="481" spans="1:5" ht="15.6" x14ac:dyDescent="0.3">
      <c r="A481" s="26"/>
      <c r="B481" s="27"/>
      <c r="C481" s="21"/>
      <c r="D481" s="26"/>
      <c r="E481" s="21"/>
    </row>
    <row r="482" spans="1:5" ht="15.6" x14ac:dyDescent="0.3">
      <c r="A482" s="26"/>
      <c r="B482" s="27"/>
      <c r="C482" s="21"/>
      <c r="D482" s="26"/>
      <c r="E482" s="21"/>
    </row>
    <row r="483" spans="1:5" ht="15.6" x14ac:dyDescent="0.3">
      <c r="A483" s="26"/>
      <c r="B483" s="21"/>
      <c r="C483" s="21"/>
      <c r="D483" s="21"/>
      <c r="E483" s="21"/>
    </row>
    <row r="484" spans="1:5" ht="15.6" x14ac:dyDescent="0.3">
      <c r="A484" s="26"/>
      <c r="B484" s="21"/>
      <c r="C484" s="21"/>
      <c r="D484" s="26"/>
      <c r="E484" s="21"/>
    </row>
    <row r="485" spans="1:5" ht="15.6" x14ac:dyDescent="0.3">
      <c r="A485" s="21">
        <v>11</v>
      </c>
      <c r="B485" s="21" t="s">
        <v>847</v>
      </c>
      <c r="C485" s="21"/>
      <c r="D485" s="26"/>
      <c r="E485" s="21"/>
    </row>
    <row r="486" spans="1:5" ht="15.6" x14ac:dyDescent="0.3">
      <c r="A486" s="21" t="s">
        <v>29</v>
      </c>
      <c r="B486" s="21" t="s">
        <v>848</v>
      </c>
      <c r="C486" s="21"/>
      <c r="D486" s="26"/>
      <c r="E486" s="21"/>
    </row>
    <row r="487" spans="1:5" ht="15.6" x14ac:dyDescent="0.3">
      <c r="A487" s="21" t="s">
        <v>3</v>
      </c>
      <c r="B487" s="21" t="s">
        <v>31</v>
      </c>
      <c r="C487" s="21" t="s">
        <v>32</v>
      </c>
      <c r="D487" s="21" t="s">
        <v>5</v>
      </c>
      <c r="E487" s="21"/>
    </row>
    <row r="488" spans="1:5" ht="15.6" x14ac:dyDescent="0.3">
      <c r="A488" s="21" t="s">
        <v>849</v>
      </c>
      <c r="B488" s="21" t="s">
        <v>850</v>
      </c>
      <c r="C488" s="21" t="s">
        <v>32</v>
      </c>
      <c r="D488" s="21">
        <v>3000</v>
      </c>
      <c r="E488" s="21"/>
    </row>
    <row r="489" spans="1:5" ht="15.6" x14ac:dyDescent="0.3">
      <c r="A489" s="21" t="s">
        <v>851</v>
      </c>
      <c r="B489" s="21" t="s">
        <v>852</v>
      </c>
      <c r="C489" s="21" t="s">
        <v>318</v>
      </c>
      <c r="D489" s="21">
        <v>3500</v>
      </c>
      <c r="E489" s="21"/>
    </row>
    <row r="490" spans="1:5" ht="15.6" x14ac:dyDescent="0.3">
      <c r="A490" s="21" t="s">
        <v>853</v>
      </c>
      <c r="B490" s="21" t="s">
        <v>854</v>
      </c>
      <c r="C490" s="21" t="s">
        <v>318</v>
      </c>
      <c r="D490" s="21">
        <v>2500</v>
      </c>
      <c r="E490" s="21"/>
    </row>
    <row r="491" spans="1:5" ht="15.6" x14ac:dyDescent="0.3">
      <c r="A491" s="21" t="s">
        <v>855</v>
      </c>
      <c r="B491" s="21" t="s">
        <v>850</v>
      </c>
      <c r="C491" s="21" t="s">
        <v>32</v>
      </c>
      <c r="D491" s="21">
        <v>4000</v>
      </c>
      <c r="E491" s="21"/>
    </row>
    <row r="492" spans="1:5" ht="15.6" x14ac:dyDescent="0.3">
      <c r="A492" s="21" t="s">
        <v>856</v>
      </c>
      <c r="B492" s="21" t="s">
        <v>857</v>
      </c>
      <c r="C492" s="21" t="s">
        <v>53</v>
      </c>
      <c r="D492" s="21">
        <v>8500</v>
      </c>
      <c r="E492" s="21"/>
    </row>
    <row r="493" spans="1:5" ht="15.6" x14ac:dyDescent="0.3">
      <c r="A493" s="21" t="s">
        <v>858</v>
      </c>
      <c r="B493" s="21" t="s">
        <v>859</v>
      </c>
      <c r="C493" s="21" t="s">
        <v>32</v>
      </c>
      <c r="D493" s="21">
        <v>24000</v>
      </c>
      <c r="E493" s="21"/>
    </row>
    <row r="494" spans="1:5" ht="15.6" x14ac:dyDescent="0.3">
      <c r="A494" s="21" t="s">
        <v>860</v>
      </c>
      <c r="B494" s="21" t="s">
        <v>861</v>
      </c>
      <c r="C494" s="21" t="s">
        <v>32</v>
      </c>
      <c r="D494" s="21">
        <v>12000</v>
      </c>
      <c r="E494" s="21"/>
    </row>
    <row r="495" spans="1:5" ht="15.6" x14ac:dyDescent="0.3">
      <c r="A495" s="21" t="s">
        <v>862</v>
      </c>
      <c r="B495" s="21" t="s">
        <v>862</v>
      </c>
      <c r="C495" s="21" t="s">
        <v>32</v>
      </c>
      <c r="D495" s="21">
        <v>24000</v>
      </c>
      <c r="E495" s="21"/>
    </row>
    <row r="496" spans="1:5" ht="15.6" x14ac:dyDescent="0.3">
      <c r="A496" s="21" t="s">
        <v>863</v>
      </c>
      <c r="B496" s="21" t="s">
        <v>864</v>
      </c>
      <c r="C496" s="21" t="s">
        <v>32</v>
      </c>
      <c r="D496" s="21">
        <v>26000</v>
      </c>
      <c r="E496" s="21"/>
    </row>
    <row r="497" spans="1:5" ht="15.6" x14ac:dyDescent="0.3">
      <c r="A497" s="21" t="s">
        <v>865</v>
      </c>
      <c r="B497" s="21" t="s">
        <v>866</v>
      </c>
      <c r="C497" s="21" t="s">
        <v>32</v>
      </c>
      <c r="D497" s="21">
        <v>21000</v>
      </c>
      <c r="E497" s="21"/>
    </row>
    <row r="498" spans="1:5" ht="15.6" x14ac:dyDescent="0.3">
      <c r="A498" s="21" t="s">
        <v>867</v>
      </c>
      <c r="B498" s="21" t="s">
        <v>868</v>
      </c>
      <c r="C498" s="21" t="s">
        <v>32</v>
      </c>
      <c r="D498" s="21">
        <v>11000</v>
      </c>
      <c r="E498" s="21"/>
    </row>
    <row r="499" spans="1:5" ht="15.6" x14ac:dyDescent="0.3">
      <c r="A499" s="21" t="s">
        <v>27</v>
      </c>
      <c r="B499" s="21" t="s">
        <v>869</v>
      </c>
      <c r="C499" s="21" t="s">
        <v>53</v>
      </c>
      <c r="D499" s="21">
        <v>7000</v>
      </c>
      <c r="E499" s="21"/>
    </row>
    <row r="500" spans="1:5" ht="15.6" x14ac:dyDescent="0.3">
      <c r="A500" s="21" t="s">
        <v>870</v>
      </c>
      <c r="B500" s="21" t="s">
        <v>871</v>
      </c>
      <c r="C500" s="21" t="s">
        <v>872</v>
      </c>
      <c r="D500" s="21">
        <v>8000</v>
      </c>
      <c r="E500" s="21"/>
    </row>
    <row r="501" spans="1:5" ht="15.6" x14ac:dyDescent="0.3">
      <c r="A501" s="21" t="s">
        <v>873</v>
      </c>
      <c r="B501" s="21" t="s">
        <v>874</v>
      </c>
      <c r="C501" s="21" t="s">
        <v>53</v>
      </c>
      <c r="D501" s="21">
        <v>4000</v>
      </c>
      <c r="E501" s="21"/>
    </row>
    <row r="502" spans="1:5" ht="15.6" x14ac:dyDescent="0.3">
      <c r="A502" s="21" t="s">
        <v>875</v>
      </c>
      <c r="B502" s="21" t="s">
        <v>876</v>
      </c>
      <c r="C502" s="21" t="s">
        <v>877</v>
      </c>
      <c r="D502" s="21">
        <v>3000</v>
      </c>
      <c r="E502" s="21"/>
    </row>
    <row r="503" spans="1:5" ht="15.6" x14ac:dyDescent="0.3">
      <c r="A503" s="21" t="s">
        <v>878</v>
      </c>
      <c r="B503" s="21" t="s">
        <v>879</v>
      </c>
      <c r="C503" s="21" t="s">
        <v>318</v>
      </c>
      <c r="D503" s="21">
        <v>3500</v>
      </c>
      <c r="E503" s="26"/>
    </row>
    <row r="504" spans="1:5" ht="15.6" x14ac:dyDescent="0.3">
      <c r="A504" s="21" t="s">
        <v>880</v>
      </c>
      <c r="B504" s="21" t="s">
        <v>881</v>
      </c>
      <c r="C504" s="21" t="s">
        <v>32</v>
      </c>
      <c r="D504" s="21">
        <v>23000</v>
      </c>
      <c r="E504" s="21"/>
    </row>
    <row r="505" spans="1:5" ht="15.6" x14ac:dyDescent="0.3">
      <c r="A505" s="21" t="s">
        <v>882</v>
      </c>
      <c r="B505" s="21" t="s">
        <v>883</v>
      </c>
      <c r="C505" s="21" t="s">
        <v>884</v>
      </c>
      <c r="D505" s="21"/>
      <c r="E505" s="21"/>
    </row>
    <row r="506" spans="1:5" ht="15.6" x14ac:dyDescent="0.3">
      <c r="A506" s="26"/>
      <c r="B506" s="21"/>
      <c r="C506" s="21"/>
      <c r="D506" s="21"/>
      <c r="E506" s="21"/>
    </row>
    <row r="507" spans="1:5" ht="15.6" x14ac:dyDescent="0.3">
      <c r="A507" s="26"/>
      <c r="B507" s="21"/>
      <c r="C507" s="21"/>
      <c r="D507" s="21"/>
      <c r="E507" s="21"/>
    </row>
    <row r="508" spans="1:5" ht="15.6" x14ac:dyDescent="0.3">
      <c r="A508" s="26"/>
      <c r="B508" s="21"/>
      <c r="C508" s="21"/>
      <c r="D508" s="21"/>
      <c r="E508" s="21"/>
    </row>
    <row r="509" spans="1:5" ht="15.6" x14ac:dyDescent="0.3">
      <c r="A509" s="26"/>
      <c r="B509" s="21"/>
      <c r="C509" s="21"/>
      <c r="D509" s="26"/>
      <c r="E509" s="21"/>
    </row>
    <row r="510" spans="1:5" ht="15.6" x14ac:dyDescent="0.3">
      <c r="A510" s="26"/>
      <c r="B510" s="21"/>
      <c r="C510" s="21"/>
      <c r="D510" s="26"/>
      <c r="E510" s="21"/>
    </row>
    <row r="511" spans="1:5" ht="15.6" x14ac:dyDescent="0.3">
      <c r="A511" s="26"/>
      <c r="B511" s="21"/>
      <c r="C511" s="21"/>
      <c r="D511" s="26"/>
      <c r="E511" s="21"/>
    </row>
    <row r="512" spans="1:5" ht="15.6" x14ac:dyDescent="0.3">
      <c r="A512" s="26"/>
      <c r="B512" s="21"/>
      <c r="C512" s="21"/>
      <c r="D512" s="21"/>
      <c r="E512" s="21"/>
    </row>
    <row r="513" spans="1:5" ht="15.6" x14ac:dyDescent="0.3">
      <c r="A513" s="21">
        <v>12</v>
      </c>
      <c r="B513" s="39" t="s">
        <v>885</v>
      </c>
      <c r="C513" s="39"/>
      <c r="D513" s="26"/>
      <c r="E513" s="21"/>
    </row>
    <row r="514" spans="1:5" ht="15.6" x14ac:dyDescent="0.3">
      <c r="A514" s="21" t="s">
        <v>29</v>
      </c>
      <c r="B514" s="21" t="s">
        <v>886</v>
      </c>
      <c r="C514" s="21"/>
      <c r="D514" s="26"/>
      <c r="E514" s="21"/>
    </row>
    <row r="515" spans="1:5" ht="15.6" x14ac:dyDescent="0.3">
      <c r="A515" s="21" t="s">
        <v>3</v>
      </c>
      <c r="B515" s="21" t="s">
        <v>31</v>
      </c>
      <c r="C515" s="21" t="s">
        <v>32</v>
      </c>
      <c r="D515" s="21" t="s">
        <v>5</v>
      </c>
      <c r="E515" s="21"/>
    </row>
    <row r="516" spans="1:5" ht="15.6" x14ac:dyDescent="0.3">
      <c r="A516" s="21" t="s">
        <v>887</v>
      </c>
      <c r="B516" s="21" t="s">
        <v>888</v>
      </c>
      <c r="C516" s="21" t="s">
        <v>104</v>
      </c>
      <c r="D516" s="21">
        <v>7000</v>
      </c>
      <c r="E516" s="21"/>
    </row>
    <row r="517" spans="1:5" ht="15.6" x14ac:dyDescent="0.3">
      <c r="A517" s="21" t="s">
        <v>889</v>
      </c>
      <c r="B517" s="21" t="s">
        <v>888</v>
      </c>
      <c r="C517" s="21" t="s">
        <v>83</v>
      </c>
      <c r="D517" s="21">
        <v>4000</v>
      </c>
      <c r="E517" s="21"/>
    </row>
    <row r="518" spans="1:5" ht="15.6" x14ac:dyDescent="0.3">
      <c r="A518" s="21" t="s">
        <v>890</v>
      </c>
      <c r="B518" s="21" t="s">
        <v>891</v>
      </c>
      <c r="C518" s="21" t="s">
        <v>892</v>
      </c>
      <c r="D518" s="21">
        <v>3300</v>
      </c>
      <c r="E518" s="21"/>
    </row>
    <row r="519" spans="1:5" ht="15.6" x14ac:dyDescent="0.3">
      <c r="A519" s="21" t="s">
        <v>893</v>
      </c>
      <c r="B519" s="21" t="s">
        <v>894</v>
      </c>
      <c r="C519" s="21" t="s">
        <v>895</v>
      </c>
      <c r="D519" s="21">
        <v>5500</v>
      </c>
      <c r="E519" s="21"/>
    </row>
    <row r="520" spans="1:5" ht="15.6" x14ac:dyDescent="0.3">
      <c r="A520" s="21" t="s">
        <v>896</v>
      </c>
      <c r="B520" s="21" t="s">
        <v>897</v>
      </c>
      <c r="C520" s="21" t="s">
        <v>770</v>
      </c>
      <c r="D520" s="21">
        <v>3300</v>
      </c>
      <c r="E520" s="21"/>
    </row>
    <row r="521" spans="1:5" ht="15.6" x14ac:dyDescent="0.3">
      <c r="A521" s="21" t="s">
        <v>898</v>
      </c>
      <c r="B521" s="21" t="s">
        <v>899</v>
      </c>
      <c r="C521" s="21" t="s">
        <v>770</v>
      </c>
      <c r="D521" s="21">
        <v>6100</v>
      </c>
      <c r="E521" s="21"/>
    </row>
    <row r="522" spans="1:5" ht="15.6" x14ac:dyDescent="0.3">
      <c r="A522" s="21" t="s">
        <v>900</v>
      </c>
      <c r="B522" s="21" t="s">
        <v>901</v>
      </c>
      <c r="C522" s="21" t="s">
        <v>892</v>
      </c>
      <c r="D522" s="21">
        <v>1800</v>
      </c>
      <c r="E522" s="21"/>
    </row>
    <row r="523" spans="1:5" ht="15.6" x14ac:dyDescent="0.3">
      <c r="A523" s="21" t="s">
        <v>902</v>
      </c>
      <c r="B523" s="21" t="s">
        <v>903</v>
      </c>
      <c r="C523" s="21" t="s">
        <v>452</v>
      </c>
      <c r="D523" s="21">
        <v>1700</v>
      </c>
      <c r="E523" s="21"/>
    </row>
    <row r="524" spans="1:5" ht="15.6" x14ac:dyDescent="0.3">
      <c r="A524" s="21" t="s">
        <v>904</v>
      </c>
      <c r="B524" s="21" t="s">
        <v>905</v>
      </c>
      <c r="C524" s="21" t="s">
        <v>770</v>
      </c>
      <c r="D524" s="21">
        <v>2800</v>
      </c>
      <c r="E524" s="21"/>
    </row>
    <row r="525" spans="1:5" ht="15.6" x14ac:dyDescent="0.3">
      <c r="A525" s="21" t="s">
        <v>906</v>
      </c>
      <c r="B525" s="21" t="s">
        <v>907</v>
      </c>
      <c r="C525" s="21" t="s">
        <v>452</v>
      </c>
      <c r="D525" s="21">
        <v>1700</v>
      </c>
      <c r="E525" s="21"/>
    </row>
    <row r="526" spans="1:5" ht="15.6" x14ac:dyDescent="0.3">
      <c r="A526" s="21" t="s">
        <v>908</v>
      </c>
      <c r="B526" s="21" t="s">
        <v>909</v>
      </c>
      <c r="C526" s="21" t="s">
        <v>460</v>
      </c>
      <c r="D526" s="21">
        <v>3300</v>
      </c>
      <c r="E526" s="21"/>
    </row>
    <row r="527" spans="1:5" ht="15.6" x14ac:dyDescent="0.3">
      <c r="A527" s="21" t="s">
        <v>910</v>
      </c>
      <c r="B527" s="21" t="s">
        <v>911</v>
      </c>
      <c r="C527" s="21" t="s">
        <v>452</v>
      </c>
      <c r="D527" s="21">
        <v>1700</v>
      </c>
      <c r="E527" s="21"/>
    </row>
    <row r="528" spans="1:5" ht="15.6" x14ac:dyDescent="0.3">
      <c r="A528" s="21" t="s">
        <v>912</v>
      </c>
      <c r="B528" s="21" t="s">
        <v>911</v>
      </c>
      <c r="C528" s="21" t="s">
        <v>460</v>
      </c>
      <c r="D528" s="21">
        <v>3300</v>
      </c>
      <c r="E528" s="21"/>
    </row>
    <row r="529" spans="1:5" ht="15.6" x14ac:dyDescent="0.3">
      <c r="A529" s="21" t="s">
        <v>913</v>
      </c>
      <c r="B529" s="21" t="s">
        <v>914</v>
      </c>
      <c r="C529" s="21" t="s">
        <v>460</v>
      </c>
      <c r="D529" s="21">
        <v>3300</v>
      </c>
      <c r="E529" s="21"/>
    </row>
    <row r="530" spans="1:5" ht="15.6" x14ac:dyDescent="0.3">
      <c r="A530" s="21" t="s">
        <v>915</v>
      </c>
      <c r="B530" s="21" t="s">
        <v>916</v>
      </c>
      <c r="C530" s="21" t="s">
        <v>917</v>
      </c>
      <c r="D530" s="21">
        <v>2500</v>
      </c>
      <c r="E530" s="21"/>
    </row>
    <row r="531" spans="1:5" ht="15.6" x14ac:dyDescent="0.3">
      <c r="A531" s="21" t="s">
        <v>918</v>
      </c>
      <c r="B531" s="21" t="s">
        <v>919</v>
      </c>
      <c r="C531" s="21" t="s">
        <v>770</v>
      </c>
      <c r="D531" s="21">
        <v>3300</v>
      </c>
      <c r="E531" s="21"/>
    </row>
    <row r="532" spans="1:5" ht="15.6" x14ac:dyDescent="0.3">
      <c r="A532" s="21" t="s">
        <v>920</v>
      </c>
      <c r="B532" s="21" t="s">
        <v>921</v>
      </c>
      <c r="C532" s="21" t="s">
        <v>770</v>
      </c>
      <c r="D532" s="21">
        <v>3300</v>
      </c>
      <c r="E532" s="21"/>
    </row>
    <row r="533" spans="1:5" ht="15.6" x14ac:dyDescent="0.3">
      <c r="A533" s="21" t="s">
        <v>922</v>
      </c>
      <c r="B533" s="21" t="s">
        <v>923</v>
      </c>
      <c r="C533" s="21" t="s">
        <v>770</v>
      </c>
      <c r="D533" s="21">
        <v>3300</v>
      </c>
      <c r="E533" s="21"/>
    </row>
    <row r="534" spans="1:5" ht="15.6" x14ac:dyDescent="0.3">
      <c r="A534" s="21" t="s">
        <v>924</v>
      </c>
      <c r="B534" s="21" t="s">
        <v>925</v>
      </c>
      <c r="C534" s="21" t="s">
        <v>926</v>
      </c>
      <c r="D534" s="21">
        <v>2000</v>
      </c>
      <c r="E534" s="21"/>
    </row>
    <row r="535" spans="1:5" ht="15.6" x14ac:dyDescent="0.3">
      <c r="A535" s="21" t="s">
        <v>927</v>
      </c>
      <c r="B535" s="21" t="s">
        <v>928</v>
      </c>
      <c r="C535" s="21" t="s">
        <v>929</v>
      </c>
      <c r="D535" s="21">
        <v>1500</v>
      </c>
      <c r="E535" s="21"/>
    </row>
    <row r="536" spans="1:5" ht="15.6" x14ac:dyDescent="0.3">
      <c r="A536" s="21" t="s">
        <v>930</v>
      </c>
      <c r="B536" s="21" t="s">
        <v>931</v>
      </c>
      <c r="C536" s="21" t="s">
        <v>932</v>
      </c>
      <c r="D536" s="21">
        <v>1700</v>
      </c>
      <c r="E536" s="21"/>
    </row>
    <row r="537" spans="1:5" ht="15.6" x14ac:dyDescent="0.3">
      <c r="A537" s="21" t="s">
        <v>933</v>
      </c>
      <c r="B537" s="21" t="s">
        <v>934</v>
      </c>
      <c r="C537" s="21" t="s">
        <v>935</v>
      </c>
      <c r="D537" s="21">
        <v>1700</v>
      </c>
      <c r="E537" s="21"/>
    </row>
    <row r="538" spans="1:5" ht="15.6" x14ac:dyDescent="0.3">
      <c r="A538" s="21" t="s">
        <v>936</v>
      </c>
      <c r="B538" s="21" t="s">
        <v>937</v>
      </c>
      <c r="C538" s="21" t="s">
        <v>938</v>
      </c>
      <c r="D538" s="21">
        <v>1700</v>
      </c>
      <c r="E538" s="21"/>
    </row>
    <row r="539" spans="1:5" ht="15.6" x14ac:dyDescent="0.3">
      <c r="A539" s="21" t="s">
        <v>939</v>
      </c>
      <c r="B539" s="21" t="s">
        <v>940</v>
      </c>
      <c r="C539" s="21" t="s">
        <v>708</v>
      </c>
      <c r="D539" s="21">
        <v>3300</v>
      </c>
      <c r="E539" s="21"/>
    </row>
    <row r="540" spans="1:5" ht="15.6" x14ac:dyDescent="0.3">
      <c r="A540" s="21" t="s">
        <v>941</v>
      </c>
      <c r="B540" s="21" t="s">
        <v>942</v>
      </c>
      <c r="C540" s="21" t="s">
        <v>770</v>
      </c>
      <c r="D540" s="21">
        <v>2000</v>
      </c>
      <c r="E540" s="21"/>
    </row>
    <row r="541" spans="1:5" ht="15.6" x14ac:dyDescent="0.3">
      <c r="A541" s="21" t="s">
        <v>943</v>
      </c>
      <c r="B541" s="21" t="s">
        <v>944</v>
      </c>
      <c r="C541" s="21" t="s">
        <v>945</v>
      </c>
      <c r="D541" s="21">
        <v>1500</v>
      </c>
      <c r="E541" s="21"/>
    </row>
    <row r="542" spans="1:5" ht="15.6" x14ac:dyDescent="0.3">
      <c r="A542" s="21" t="s">
        <v>946</v>
      </c>
      <c r="B542" s="21" t="s">
        <v>947</v>
      </c>
      <c r="C542" s="21" t="s">
        <v>770</v>
      </c>
      <c r="D542" s="21">
        <v>2000</v>
      </c>
      <c r="E542" s="21"/>
    </row>
    <row r="543" spans="1:5" ht="15.6" x14ac:dyDescent="0.3">
      <c r="A543" s="21" t="s">
        <v>948</v>
      </c>
      <c r="B543" s="21" t="s">
        <v>24</v>
      </c>
      <c r="C543" s="21" t="s">
        <v>452</v>
      </c>
      <c r="D543" s="21">
        <v>1200</v>
      </c>
      <c r="E543" s="21"/>
    </row>
    <row r="544" spans="1:5" ht="15.6" x14ac:dyDescent="0.3">
      <c r="A544" s="21" t="s">
        <v>450</v>
      </c>
      <c r="B544" s="21" t="s">
        <v>949</v>
      </c>
      <c r="C544" s="21" t="s">
        <v>770</v>
      </c>
      <c r="D544" s="21">
        <v>1500</v>
      </c>
      <c r="E544" s="21"/>
    </row>
    <row r="545" spans="1:5" ht="15.6" x14ac:dyDescent="0.3">
      <c r="A545" s="21" t="s">
        <v>950</v>
      </c>
      <c r="B545" s="21" t="s">
        <v>951</v>
      </c>
      <c r="C545" s="21" t="s">
        <v>952</v>
      </c>
      <c r="D545" s="21">
        <v>2500</v>
      </c>
      <c r="E545" s="21"/>
    </row>
    <row r="546" spans="1:5" ht="15.6" x14ac:dyDescent="0.3">
      <c r="A546" s="21" t="s">
        <v>953</v>
      </c>
      <c r="B546" s="21" t="s">
        <v>954</v>
      </c>
      <c r="C546" s="21" t="s">
        <v>952</v>
      </c>
      <c r="D546" s="21">
        <v>5000</v>
      </c>
      <c r="E546" s="21"/>
    </row>
    <row r="547" spans="1:5" ht="15.6" x14ac:dyDescent="0.3">
      <c r="A547" s="21" t="s">
        <v>955</v>
      </c>
      <c r="B547" s="21" t="s">
        <v>956</v>
      </c>
      <c r="C547" s="21" t="s">
        <v>952</v>
      </c>
      <c r="D547" s="21">
        <v>5000</v>
      </c>
      <c r="E547" s="21"/>
    </row>
    <row r="548" spans="1:5" ht="15.6" x14ac:dyDescent="0.3">
      <c r="A548" s="21" t="s">
        <v>957</v>
      </c>
      <c r="B548" s="21" t="s">
        <v>958</v>
      </c>
      <c r="C548" s="21" t="s">
        <v>952</v>
      </c>
      <c r="D548" s="21">
        <v>5000</v>
      </c>
      <c r="E548" s="21"/>
    </row>
    <row r="549" spans="1:5" ht="15.6" x14ac:dyDescent="0.3">
      <c r="A549" s="21"/>
      <c r="B549" s="21"/>
      <c r="C549" s="21"/>
      <c r="D549" s="21"/>
      <c r="E549" s="21"/>
    </row>
    <row r="550" spans="1:5" ht="15.6" x14ac:dyDescent="0.3">
      <c r="A550" s="21" t="s">
        <v>959</v>
      </c>
      <c r="B550" s="21" t="s">
        <v>960</v>
      </c>
      <c r="C550" s="21" t="s">
        <v>770</v>
      </c>
      <c r="D550" s="21">
        <v>1200</v>
      </c>
      <c r="E550" s="38"/>
    </row>
    <row r="551" spans="1:5" ht="15.6" x14ac:dyDescent="0.3">
      <c r="A551" s="21" t="s">
        <v>961</v>
      </c>
      <c r="B551" s="21" t="s">
        <v>962</v>
      </c>
      <c r="C551" s="21" t="s">
        <v>770</v>
      </c>
      <c r="D551" s="21">
        <v>500</v>
      </c>
      <c r="E551" s="38"/>
    </row>
    <row r="552" spans="1:5" ht="15.6" x14ac:dyDescent="0.3">
      <c r="A552" s="21" t="s">
        <v>963</v>
      </c>
      <c r="B552" s="21" t="s">
        <v>964</v>
      </c>
      <c r="C552" s="21" t="s">
        <v>32</v>
      </c>
      <c r="D552" s="21">
        <v>5500</v>
      </c>
      <c r="E552" s="38"/>
    </row>
    <row r="553" spans="1:5" ht="15.6" x14ac:dyDescent="0.3">
      <c r="A553" s="21" t="s">
        <v>25</v>
      </c>
      <c r="B553" s="21" t="s">
        <v>25</v>
      </c>
      <c r="C553" s="21" t="s">
        <v>32</v>
      </c>
      <c r="D553" s="21">
        <v>1500</v>
      </c>
      <c r="E553" s="38"/>
    </row>
    <row r="554" spans="1:5" ht="15.6" x14ac:dyDescent="0.3">
      <c r="A554" s="26"/>
      <c r="B554" s="21"/>
      <c r="C554" s="21"/>
      <c r="D554" s="26"/>
      <c r="E554" s="38"/>
    </row>
    <row r="555" spans="1:5" ht="15.6" x14ac:dyDescent="0.3">
      <c r="A555" s="21">
        <v>13</v>
      </c>
      <c r="B555" s="31" t="s">
        <v>965</v>
      </c>
      <c r="C555" s="21"/>
      <c r="D555" s="26"/>
      <c r="E555" s="38"/>
    </row>
    <row r="556" spans="1:5" ht="15.6" x14ac:dyDescent="0.3">
      <c r="A556" s="21" t="s">
        <v>29</v>
      </c>
      <c r="B556" s="21" t="s">
        <v>966</v>
      </c>
      <c r="C556" s="21"/>
      <c r="D556" s="26"/>
      <c r="E556" s="38"/>
    </row>
    <row r="557" spans="1:5" ht="15.6" x14ac:dyDescent="0.3">
      <c r="A557" s="21" t="s">
        <v>3</v>
      </c>
      <c r="B557" s="21" t="s">
        <v>31</v>
      </c>
      <c r="C557" s="21" t="s">
        <v>32</v>
      </c>
      <c r="D557" s="21" t="s">
        <v>5</v>
      </c>
      <c r="E557" s="38"/>
    </row>
    <row r="558" spans="1:5" ht="15.6" x14ac:dyDescent="0.3">
      <c r="A558" s="25" t="s">
        <v>967</v>
      </c>
      <c r="B558" s="21" t="s">
        <v>968</v>
      </c>
      <c r="C558" s="21" t="s">
        <v>969</v>
      </c>
      <c r="D558" s="21">
        <v>7000</v>
      </c>
      <c r="E558" s="38"/>
    </row>
    <row r="559" spans="1:5" ht="15.6" x14ac:dyDescent="0.3">
      <c r="A559" s="21" t="s">
        <v>970</v>
      </c>
      <c r="B559" s="21" t="s">
        <v>971</v>
      </c>
      <c r="C559" s="21" t="s">
        <v>972</v>
      </c>
      <c r="D559" s="21">
        <v>10000</v>
      </c>
      <c r="E559" s="38"/>
    </row>
    <row r="560" spans="1:5" ht="15.6" x14ac:dyDescent="0.3">
      <c r="A560" s="21" t="s">
        <v>973</v>
      </c>
      <c r="B560" s="21" t="s">
        <v>971</v>
      </c>
      <c r="C560" s="21" t="s">
        <v>969</v>
      </c>
      <c r="D560" s="21">
        <v>4000</v>
      </c>
      <c r="E560" s="38"/>
    </row>
    <row r="561" spans="1:5" ht="15.6" x14ac:dyDescent="0.3">
      <c r="A561" s="25" t="s">
        <v>974</v>
      </c>
      <c r="B561" s="21" t="s">
        <v>975</v>
      </c>
      <c r="C561" s="21" t="s">
        <v>345</v>
      </c>
      <c r="D561" s="21">
        <v>8000</v>
      </c>
      <c r="E561" s="38"/>
    </row>
    <row r="562" spans="1:5" ht="15.6" x14ac:dyDescent="0.3">
      <c r="A562" s="25" t="s">
        <v>976</v>
      </c>
      <c r="B562" s="21" t="s">
        <v>977</v>
      </c>
      <c r="C562" s="21" t="s">
        <v>969</v>
      </c>
      <c r="D562" s="21">
        <v>5000</v>
      </c>
      <c r="E562" s="38"/>
    </row>
    <row r="563" spans="1:5" ht="15.6" x14ac:dyDescent="0.3">
      <c r="A563" s="25" t="s">
        <v>978</v>
      </c>
      <c r="B563" s="21" t="s">
        <v>977</v>
      </c>
      <c r="C563" s="21" t="s">
        <v>972</v>
      </c>
      <c r="D563" s="21">
        <v>15000</v>
      </c>
      <c r="E563" s="38"/>
    </row>
    <row r="564" spans="1:5" ht="15.6" x14ac:dyDescent="0.3">
      <c r="A564" s="21" t="s">
        <v>979</v>
      </c>
      <c r="B564" s="21" t="s">
        <v>980</v>
      </c>
      <c r="C564" s="21" t="s">
        <v>972</v>
      </c>
      <c r="D564" s="21">
        <v>18000</v>
      </c>
      <c r="E564" s="38"/>
    </row>
    <row r="565" spans="1:5" ht="15.6" x14ac:dyDescent="0.3">
      <c r="A565" s="21" t="s">
        <v>981</v>
      </c>
      <c r="B565" s="21" t="s">
        <v>980</v>
      </c>
      <c r="C565" s="21" t="s">
        <v>969</v>
      </c>
      <c r="D565" s="21">
        <v>7000</v>
      </c>
      <c r="E565" s="38"/>
    </row>
    <row r="566" spans="1:5" ht="15.6" x14ac:dyDescent="0.3">
      <c r="A566" s="25" t="s">
        <v>982</v>
      </c>
      <c r="B566" s="21" t="s">
        <v>983</v>
      </c>
      <c r="C566" s="21" t="s">
        <v>972</v>
      </c>
      <c r="D566" s="21">
        <v>17000</v>
      </c>
      <c r="E566" s="38"/>
    </row>
    <row r="567" spans="1:5" ht="15.6" x14ac:dyDescent="0.3">
      <c r="A567" s="25" t="s">
        <v>984</v>
      </c>
      <c r="B567" s="25" t="s">
        <v>985</v>
      </c>
      <c r="C567" s="21" t="s">
        <v>770</v>
      </c>
      <c r="D567" s="21">
        <v>9000</v>
      </c>
      <c r="E567" s="38"/>
    </row>
    <row r="568" spans="1:5" ht="15.6" x14ac:dyDescent="0.3">
      <c r="A568" s="25" t="s">
        <v>986</v>
      </c>
      <c r="B568" s="25" t="s">
        <v>987</v>
      </c>
      <c r="C568" s="21" t="s">
        <v>770</v>
      </c>
      <c r="D568" s="21">
        <v>3000</v>
      </c>
      <c r="E568" s="38"/>
    </row>
    <row r="569" spans="1:5" ht="15.6" x14ac:dyDescent="0.3">
      <c r="A569" s="25" t="s">
        <v>988</v>
      </c>
      <c r="B569" s="21" t="s">
        <v>989</v>
      </c>
      <c r="C569" s="21" t="s">
        <v>972</v>
      </c>
      <c r="D569" s="21">
        <v>10000</v>
      </c>
      <c r="E569" s="38"/>
    </row>
    <row r="570" spans="1:5" ht="15.6" x14ac:dyDescent="0.3">
      <c r="A570" s="21" t="s">
        <v>990</v>
      </c>
      <c r="B570" s="21" t="s">
        <v>991</v>
      </c>
      <c r="C570" s="21" t="s">
        <v>969</v>
      </c>
      <c r="D570" s="21">
        <v>4000</v>
      </c>
      <c r="E570" s="38"/>
    </row>
    <row r="571" spans="1:5" ht="15.6" x14ac:dyDescent="0.3">
      <c r="A571" s="25" t="s">
        <v>992</v>
      </c>
      <c r="B571" s="25" t="s">
        <v>993</v>
      </c>
      <c r="C571" s="21" t="s">
        <v>770</v>
      </c>
      <c r="D571" s="21">
        <v>3000</v>
      </c>
      <c r="E571" s="38"/>
    </row>
    <row r="572" spans="1:5" ht="15.6" x14ac:dyDescent="0.3">
      <c r="A572" s="21" t="s">
        <v>994</v>
      </c>
      <c r="B572" s="21" t="s">
        <v>995</v>
      </c>
      <c r="C572" s="21" t="s">
        <v>972</v>
      </c>
      <c r="D572" s="21">
        <v>22000</v>
      </c>
      <c r="E572" s="38"/>
    </row>
    <row r="573" spans="1:5" ht="15.6" x14ac:dyDescent="0.3">
      <c r="A573" s="21" t="s">
        <v>996</v>
      </c>
      <c r="B573" s="21" t="s">
        <v>997</v>
      </c>
      <c r="C573" s="21" t="s">
        <v>969</v>
      </c>
      <c r="D573" s="21">
        <v>8000</v>
      </c>
      <c r="E573" s="38"/>
    </row>
    <row r="574" spans="1:5" ht="15.6" x14ac:dyDescent="0.3">
      <c r="A574" s="21" t="s">
        <v>998</v>
      </c>
      <c r="B574" s="21" t="s">
        <v>999</v>
      </c>
      <c r="C574" s="21" t="s">
        <v>1000</v>
      </c>
      <c r="D574" s="21">
        <v>17000</v>
      </c>
      <c r="E574" s="38"/>
    </row>
    <row r="575" spans="1:5" ht="15.6" x14ac:dyDescent="0.3">
      <c r="A575" s="21" t="s">
        <v>1001</v>
      </c>
      <c r="B575" s="21" t="s">
        <v>1002</v>
      </c>
      <c r="C575" s="21" t="s">
        <v>972</v>
      </c>
      <c r="D575" s="21">
        <v>10000</v>
      </c>
      <c r="E575" s="38"/>
    </row>
    <row r="576" spans="1:5" ht="15.6" x14ac:dyDescent="0.3">
      <c r="A576" s="21" t="s">
        <v>1003</v>
      </c>
      <c r="B576" s="21" t="s">
        <v>1004</v>
      </c>
      <c r="C576" s="21" t="s">
        <v>1000</v>
      </c>
      <c r="D576" s="21">
        <v>17000</v>
      </c>
      <c r="E576" s="38"/>
    </row>
    <row r="577" spans="1:5" ht="15.6" x14ac:dyDescent="0.3">
      <c r="A577" s="21" t="s">
        <v>1005</v>
      </c>
      <c r="B577" s="21" t="s">
        <v>1004</v>
      </c>
      <c r="C577" s="21" t="s">
        <v>972</v>
      </c>
      <c r="D577" s="21">
        <v>10000</v>
      </c>
      <c r="E577" s="38"/>
    </row>
    <row r="578" spans="1:5" ht="15.6" x14ac:dyDescent="0.3">
      <c r="A578" s="21" t="s">
        <v>1006</v>
      </c>
      <c r="B578" s="21" t="s">
        <v>1007</v>
      </c>
      <c r="C578" s="21" t="s">
        <v>972</v>
      </c>
      <c r="D578" s="21">
        <v>10000</v>
      </c>
      <c r="E578" s="38"/>
    </row>
    <row r="579" spans="1:5" ht="15.6" x14ac:dyDescent="0.3">
      <c r="A579" s="21" t="s">
        <v>1008</v>
      </c>
      <c r="B579" s="21" t="s">
        <v>1007</v>
      </c>
      <c r="C579" s="21" t="s">
        <v>1000</v>
      </c>
      <c r="D579" s="21">
        <v>17000</v>
      </c>
      <c r="E579" s="38"/>
    </row>
    <row r="580" spans="1:5" ht="15.6" x14ac:dyDescent="0.3">
      <c r="A580" s="21" t="s">
        <v>1009</v>
      </c>
      <c r="B580" s="21" t="s">
        <v>1010</v>
      </c>
      <c r="C580" s="21" t="s">
        <v>1011</v>
      </c>
      <c r="D580" s="21">
        <v>11000</v>
      </c>
      <c r="E580" s="38"/>
    </row>
    <row r="581" spans="1:5" ht="15.6" x14ac:dyDescent="0.3">
      <c r="A581" s="21" t="s">
        <v>1012</v>
      </c>
      <c r="B581" s="21" t="s">
        <v>1010</v>
      </c>
      <c r="C581" s="21" t="s">
        <v>1013</v>
      </c>
      <c r="D581" s="21">
        <v>9000</v>
      </c>
      <c r="E581" s="38"/>
    </row>
    <row r="582" spans="1:5" ht="15.6" x14ac:dyDescent="0.3">
      <c r="A582" s="21" t="s">
        <v>1014</v>
      </c>
      <c r="B582" s="21" t="s">
        <v>1015</v>
      </c>
      <c r="C582" s="21" t="s">
        <v>1013</v>
      </c>
      <c r="D582" s="21">
        <v>6000</v>
      </c>
      <c r="E582" s="38"/>
    </row>
    <row r="583" spans="1:5" ht="15.6" x14ac:dyDescent="0.3">
      <c r="A583" s="21" t="s">
        <v>1016</v>
      </c>
      <c r="B583" s="21" t="s">
        <v>1017</v>
      </c>
      <c r="C583" s="21" t="s">
        <v>345</v>
      </c>
      <c r="D583" s="21">
        <v>17000</v>
      </c>
      <c r="E583" s="38"/>
    </row>
    <row r="584" spans="1:5" ht="15.6" x14ac:dyDescent="0.3">
      <c r="A584" s="21" t="s">
        <v>1018</v>
      </c>
      <c r="B584" s="21" t="s">
        <v>1019</v>
      </c>
      <c r="C584" s="21" t="s">
        <v>1011</v>
      </c>
      <c r="D584" s="21">
        <v>10000</v>
      </c>
      <c r="E584" s="38"/>
    </row>
    <row r="585" spans="1:5" ht="15.6" x14ac:dyDescent="0.3">
      <c r="A585" s="21" t="s">
        <v>1020</v>
      </c>
      <c r="B585" s="21" t="s">
        <v>1021</v>
      </c>
      <c r="C585" s="21" t="s">
        <v>1013</v>
      </c>
      <c r="D585" s="21">
        <v>9000</v>
      </c>
      <c r="E585" s="38"/>
    </row>
    <row r="586" spans="1:5" ht="15.6" x14ac:dyDescent="0.3">
      <c r="A586" s="21" t="s">
        <v>1022</v>
      </c>
      <c r="B586" s="21" t="s">
        <v>1023</v>
      </c>
      <c r="C586" s="21" t="s">
        <v>345</v>
      </c>
      <c r="D586" s="21">
        <v>20000</v>
      </c>
      <c r="E586" s="38"/>
    </row>
    <row r="587" spans="1:5" ht="15.6" x14ac:dyDescent="0.3">
      <c r="A587" s="21" t="s">
        <v>1024</v>
      </c>
      <c r="B587" s="21" t="s">
        <v>1025</v>
      </c>
      <c r="C587" s="21" t="s">
        <v>1011</v>
      </c>
      <c r="D587" s="21">
        <v>14000</v>
      </c>
      <c r="E587" s="38"/>
    </row>
    <row r="588" spans="1:5" ht="15.6" x14ac:dyDescent="0.3">
      <c r="A588" s="21" t="s">
        <v>1026</v>
      </c>
      <c r="B588" s="21" t="s">
        <v>1027</v>
      </c>
      <c r="C588" s="21" t="s">
        <v>345</v>
      </c>
      <c r="D588" s="21">
        <v>20000</v>
      </c>
      <c r="E588" s="38"/>
    </row>
    <row r="589" spans="1:5" ht="15.6" x14ac:dyDescent="0.3">
      <c r="A589" s="21" t="s">
        <v>11</v>
      </c>
      <c r="B589" s="21" t="s">
        <v>1028</v>
      </c>
      <c r="C589" s="21" t="s">
        <v>1013</v>
      </c>
      <c r="D589" s="21">
        <v>9000</v>
      </c>
      <c r="E589" s="38"/>
    </row>
    <row r="590" spans="1:5" ht="15.6" x14ac:dyDescent="0.3">
      <c r="A590" s="21" t="s">
        <v>1029</v>
      </c>
      <c r="B590" s="21" t="s">
        <v>1030</v>
      </c>
      <c r="C590" s="21" t="s">
        <v>1011</v>
      </c>
      <c r="D590" s="21">
        <v>14000</v>
      </c>
      <c r="E590" s="38"/>
    </row>
    <row r="591" spans="1:5" ht="15.6" x14ac:dyDescent="0.3">
      <c r="A591" s="21" t="s">
        <v>1031</v>
      </c>
      <c r="B591" s="21" t="s">
        <v>1032</v>
      </c>
      <c r="C591" s="21" t="s">
        <v>1013</v>
      </c>
      <c r="D591" s="21">
        <v>11000</v>
      </c>
      <c r="E591" s="38"/>
    </row>
    <row r="592" spans="1:5" ht="15.6" x14ac:dyDescent="0.3">
      <c r="A592" s="21" t="s">
        <v>1033</v>
      </c>
      <c r="B592" s="21" t="s">
        <v>1034</v>
      </c>
      <c r="C592" s="21" t="s">
        <v>1011</v>
      </c>
      <c r="D592" s="21">
        <v>16000</v>
      </c>
      <c r="E592" s="38"/>
    </row>
    <row r="593" spans="1:5" ht="15.6" x14ac:dyDescent="0.3">
      <c r="A593" s="25" t="s">
        <v>1035</v>
      </c>
      <c r="B593" s="21" t="s">
        <v>1036</v>
      </c>
      <c r="C593" s="21" t="s">
        <v>1037</v>
      </c>
      <c r="D593" s="21">
        <v>8500</v>
      </c>
      <c r="E593" s="38"/>
    </row>
    <row r="594" spans="1:5" ht="15.6" x14ac:dyDescent="0.3">
      <c r="A594" s="25" t="s">
        <v>1038</v>
      </c>
      <c r="B594" s="25" t="s">
        <v>1039</v>
      </c>
      <c r="C594" s="21" t="s">
        <v>969</v>
      </c>
      <c r="D594" s="21">
        <v>5000</v>
      </c>
      <c r="E594" s="38"/>
    </row>
    <row r="595" spans="1:5" ht="15.6" x14ac:dyDescent="0.3">
      <c r="A595" s="25" t="s">
        <v>1040</v>
      </c>
      <c r="B595" s="25" t="s">
        <v>1041</v>
      </c>
      <c r="C595" s="21" t="s">
        <v>770</v>
      </c>
      <c r="D595" s="21">
        <v>9000</v>
      </c>
      <c r="E595" s="38"/>
    </row>
    <row r="596" spans="1:5" ht="15.6" x14ac:dyDescent="0.3">
      <c r="A596" s="25" t="s">
        <v>1042</v>
      </c>
      <c r="B596" s="25" t="s">
        <v>1043</v>
      </c>
      <c r="C596" s="21" t="s">
        <v>345</v>
      </c>
      <c r="D596" s="21">
        <v>12000</v>
      </c>
      <c r="E596" s="38"/>
    </row>
    <row r="597" spans="1:5" ht="15.6" x14ac:dyDescent="0.3">
      <c r="A597" s="25" t="s">
        <v>1044</v>
      </c>
      <c r="B597" s="25" t="s">
        <v>1045</v>
      </c>
      <c r="C597" s="21" t="s">
        <v>770</v>
      </c>
      <c r="D597" s="21">
        <v>14000</v>
      </c>
      <c r="E597" s="38"/>
    </row>
    <row r="598" spans="1:5" ht="15.6" x14ac:dyDescent="0.3">
      <c r="A598" s="25" t="s">
        <v>1046</v>
      </c>
      <c r="B598" s="25" t="s">
        <v>1047</v>
      </c>
      <c r="C598" s="21" t="s">
        <v>1013</v>
      </c>
      <c r="D598" s="21">
        <v>9000</v>
      </c>
      <c r="E598" s="38"/>
    </row>
    <row r="599" spans="1:5" ht="15.6" x14ac:dyDescent="0.3">
      <c r="A599" s="25" t="s">
        <v>1048</v>
      </c>
      <c r="B599" s="25" t="s">
        <v>1047</v>
      </c>
      <c r="C599" s="21" t="s">
        <v>1011</v>
      </c>
      <c r="D599" s="21">
        <v>14000</v>
      </c>
      <c r="E599" s="21"/>
    </row>
    <row r="600" spans="1:5" ht="15.6" x14ac:dyDescent="0.3">
      <c r="A600" s="25" t="s">
        <v>1049</v>
      </c>
      <c r="B600" s="25" t="s">
        <v>1047</v>
      </c>
      <c r="C600" s="21" t="s">
        <v>345</v>
      </c>
      <c r="D600" s="21">
        <v>23000</v>
      </c>
    </row>
    <row r="601" spans="1:5" ht="15.6" x14ac:dyDescent="0.3">
      <c r="A601" s="25" t="s">
        <v>1050</v>
      </c>
      <c r="B601" s="25" t="s">
        <v>1051</v>
      </c>
      <c r="C601" s="21" t="s">
        <v>972</v>
      </c>
      <c r="D601" s="21">
        <v>9000</v>
      </c>
    </row>
    <row r="602" spans="1:5" ht="15.6" x14ac:dyDescent="0.3">
      <c r="A602" s="21" t="s">
        <v>1052</v>
      </c>
      <c r="B602" s="21" t="s">
        <v>1053</v>
      </c>
      <c r="C602" s="21" t="s">
        <v>972</v>
      </c>
      <c r="D602" s="21">
        <v>9000</v>
      </c>
    </row>
    <row r="603" spans="1:5" ht="15.6" x14ac:dyDescent="0.3">
      <c r="A603" s="25" t="s">
        <v>1054</v>
      </c>
      <c r="B603" s="25" t="s">
        <v>1055</v>
      </c>
      <c r="C603" s="21" t="s">
        <v>770</v>
      </c>
      <c r="D603" s="21">
        <v>13000</v>
      </c>
    </row>
    <row r="604" spans="1:5" ht="15.6" x14ac:dyDescent="0.3">
      <c r="A604" s="21" t="s">
        <v>1056</v>
      </c>
      <c r="B604" s="21" t="s">
        <v>1057</v>
      </c>
      <c r="C604" s="21" t="s">
        <v>345</v>
      </c>
      <c r="D604" s="21">
        <v>13000</v>
      </c>
    </row>
    <row r="605" spans="1:5" ht="15.6" x14ac:dyDescent="0.3">
      <c r="A605" s="25" t="s">
        <v>1058</v>
      </c>
      <c r="B605" s="25" t="s">
        <v>1059</v>
      </c>
      <c r="C605" s="21" t="s">
        <v>1013</v>
      </c>
      <c r="D605" s="21">
        <v>5000</v>
      </c>
    </row>
    <row r="606" spans="1:5" ht="15.6" x14ac:dyDescent="0.3">
      <c r="A606" s="25" t="s">
        <v>1060</v>
      </c>
      <c r="B606" s="25" t="s">
        <v>1059</v>
      </c>
      <c r="C606" s="21" t="s">
        <v>1011</v>
      </c>
      <c r="D606" s="21">
        <v>7000</v>
      </c>
    </row>
    <row r="607" spans="1:5" ht="15.6" x14ac:dyDescent="0.3">
      <c r="A607" s="21" t="s">
        <v>1061</v>
      </c>
      <c r="B607" s="21" t="s">
        <v>1062</v>
      </c>
      <c r="C607" s="21" t="s">
        <v>1063</v>
      </c>
      <c r="D607" s="21"/>
    </row>
    <row r="608" spans="1:5" x14ac:dyDescent="0.3">
      <c r="A608" s="40"/>
      <c r="B608" s="40"/>
      <c r="C608" s="40"/>
      <c r="D608" s="40"/>
    </row>
    <row r="609" spans="1:4" x14ac:dyDescent="0.3">
      <c r="A609" s="40"/>
      <c r="B609" s="40"/>
      <c r="C609" s="40"/>
      <c r="D609" s="40"/>
    </row>
    <row r="610" spans="1:4" x14ac:dyDescent="0.3">
      <c r="A610" s="40"/>
      <c r="B610" s="40"/>
      <c r="C610" s="40"/>
      <c r="D610" s="40"/>
    </row>
  </sheetData>
  <mergeCells count="3">
    <mergeCell ref="B19:D19"/>
    <mergeCell ref="B46:D46"/>
    <mergeCell ref="B164:D16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PLANILLA DE VENTA</vt:lpstr>
      <vt:lpstr>LISTA DE PRECIOS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ureta</dc:creator>
  <cp:lastModifiedBy>marcelo ureta</cp:lastModifiedBy>
  <dcterms:created xsi:type="dcterms:W3CDTF">2026-05-30T13:15:59Z</dcterms:created>
  <dcterms:modified xsi:type="dcterms:W3CDTF">2026-05-30T13:18:35Z</dcterms:modified>
</cp:coreProperties>
</file>